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ilia\Downloads\"/>
    </mc:Choice>
  </mc:AlternateContent>
  <xr:revisionPtr revIDLastSave="0" documentId="8_{DBEBA9E5-88B6-4778-ADBC-85FFA99D5917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Planilha3" sheetId="4" r:id="rId1"/>
    <sheet name="balancete_receita" sheetId="1" r:id="rId2"/>
    <sheet name="Planilha1" sheetId="2" r:id="rId3"/>
  </sheets>
  <calcPr calcId="191029"/>
  <pivotCaches>
    <pivotCache cacheId="6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 a="1"/>
  <c r="F9" i="2" s="1"/>
  <c r="F8" i="2" a="1"/>
  <c r="F8" i="2" s="1"/>
  <c r="F7" i="2" a="1"/>
  <c r="F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<sst xmlns="http://schemas.openxmlformats.org/spreadsheetml/2006/main" count="367" uniqueCount="352">
  <si>
    <t>Ano</t>
  </si>
  <si>
    <t>Mês</t>
  </si>
  <si>
    <t>Classificação</t>
  </si>
  <si>
    <t>Fonte</t>
  </si>
  <si>
    <t>Rubrica</t>
  </si>
  <si>
    <t>Receita</t>
  </si>
  <si>
    <t>Receita Mês (R$)</t>
  </si>
  <si>
    <t>Receita Ano (R$)</t>
  </si>
  <si>
    <t>Receita Orçada (R$)</t>
  </si>
  <si>
    <t>RECEITAS CORRENTES</t>
  </si>
  <si>
    <t>IMPOSTOS, TAXAS E CONTRIBUIÇÕES DE MELHORIA</t>
  </si>
  <si>
    <t>IMPOSTOS</t>
  </si>
  <si>
    <t>IMPOSTOS SOBRE O PATRIMÔNIO</t>
  </si>
  <si>
    <t>IMPOSTO SOBRE A PROPRIEDADE PREDIAL E TERRITORIAL URBANA</t>
  </si>
  <si>
    <t>Imposto sobre a Propriedade Predial Urbana</t>
  </si>
  <si>
    <t>Imposto sobre a Propriedade Territorial Urbana</t>
  </si>
  <si>
    <t>Imposto sobre a Propriedade Predial e Territorial Urbana - Multas e Juros</t>
  </si>
  <si>
    <t>Imposto sobre a Propriedade Predial e Territorial Urbana - Dívida Ativa</t>
  </si>
  <si>
    <t>Imposto sobre a Propriedade Predial e Territorial Urbana - Dívida Ativa - Multas e Juros</t>
  </si>
  <si>
    <t>IMPOSTOS SOBRE TRANSMISSÃO "INTER VIVOS" DE BENS IMÓVEIS E DE DIREITOS REAIS SOBRE IMÓVEIS</t>
  </si>
  <si>
    <t>Imposto sobre Transmissão “Inter Vivos” de Bens Imóveis e de Direitos Reais sobre Imóveis - Principal</t>
  </si>
  <si>
    <t>Imposto sobre Transmissão “Inter Vivos” de Bens Imóveis e de Direitos Reais sobre Imóveis - Multas e Juros</t>
  </si>
  <si>
    <t>IMPOSTOS SOBRE A RENDA E PROVENTOS DE QUALQUER NATUREZA</t>
  </si>
  <si>
    <t>IMPOSTO SOBRE A RENDA - RETIDO NA FONTE</t>
  </si>
  <si>
    <t>IMPOSTO SOBRE A RENDA - RETIDO NA FONTE - TRABALHO</t>
  </si>
  <si>
    <t>Imposto sobre a Renda - Retido na Fonte - Trabalho - Principal</t>
  </si>
  <si>
    <t>Imposto sobre a Renda - Retido na Fonte - Trabalho - Aposentados e Pensionistas</t>
  </si>
  <si>
    <t>IMPOSTOS SOBRE A PRODUÇÃO E CIRCULAÇÃO DE MERCADORIAS E SERVIÇOS</t>
  </si>
  <si>
    <t>IMPOSTOS SOBRE SERVIÇOS</t>
  </si>
  <si>
    <t>IMPOSTO SOBRE SERVIÇOS DE QUALQUER NATUREZA - ISSQN</t>
  </si>
  <si>
    <t>Imposto sobre Serviços de Qualquer Natureza - Não Lançado</t>
  </si>
  <si>
    <t>Imposto sobre Serviços de Qualquer Natureza - Lançado</t>
  </si>
  <si>
    <t>Imposto sobre Serviços de Qualquer Natureza - Super Simples</t>
  </si>
  <si>
    <t>Imposto sobre Serviços de Qualquer Natureza - STN Convênio</t>
  </si>
  <si>
    <t>Imposto sobre Serviços de Qualquer Natureza - Multas e Juros</t>
  </si>
  <si>
    <t>Imposto sobre Serviços de Qualquer Natureza - Dívida Ativa</t>
  </si>
  <si>
    <t>Imposto sobre Serviços de Qualquer Natureza - Dívida Ativa - Multas e Juros</t>
  </si>
  <si>
    <t>TAXAS</t>
  </si>
  <si>
    <t>TAXAS PELO EXERCÍCIO DO PODER DE POLÍCIA</t>
  </si>
  <si>
    <t>TAXAS DE INSPEÇÃO, CONTROLE E FISCALIZAÇÃO</t>
  </si>
  <si>
    <t>Taxa de Licença para Localização</t>
  </si>
  <si>
    <t>Taxa de Fiscalização e Funcionamento</t>
  </si>
  <si>
    <t>Taxa de Licença para o Exercício do Comércio Ambulante</t>
  </si>
  <si>
    <t>Taxa de Licença Exec. Obras Partic., Arruam., Loteam., e Desmembramento</t>
  </si>
  <si>
    <t>Taxa  de Licença para Publicidade</t>
  </si>
  <si>
    <t>Taxa de Licença p/ Ocup. do Solo e Logradouros Públicos</t>
  </si>
  <si>
    <t>Taxa p/ Permissão de Uso do Solo/ Subsolo/ Aéreo</t>
  </si>
  <si>
    <t>Taxa de Conformidade de Obras e Serviços</t>
  </si>
  <si>
    <t>Taxas de Inspeção, Controle e Fiscalização - Multas e Juros</t>
  </si>
  <si>
    <t>TAXA DE FISCALIZAÇÃO DE VIGILÂNCIA SANITÁRIA</t>
  </si>
  <si>
    <t>Taxa de Fiscalização de Vigilância Sanitária</t>
  </si>
  <si>
    <t>TAXAS PELA PRESTAÇÃO DE SERVIÇOS</t>
  </si>
  <si>
    <t>Taxa de Coleta de Lixo</t>
  </si>
  <si>
    <t>Taxa de Expediente</t>
  </si>
  <si>
    <t>Taxa Apreensão, Dep. Bens, Alinh., Nivel. E Num. de Prédios</t>
  </si>
  <si>
    <t>Taxa de Manutenção - Centro de Controle de Zoonoses - CCZ</t>
  </si>
  <si>
    <t>CONTRIBUIÇÃO DE MELHORIA</t>
  </si>
  <si>
    <t>CONTRIBUIÇÃO DE MELHORIA PARA PAVIMENTAÇÃO E OBRAS COMPLEMENTARES</t>
  </si>
  <si>
    <t>Contribuição de Melhoria para Pavimentação e Obras Complementares - Principal</t>
  </si>
  <si>
    <t>Contribuição de Melhoria para Pavimentação e Obras Complementares - Multas e Juros</t>
  </si>
  <si>
    <t>CONTRIBUIÇÕES</t>
  </si>
  <si>
    <t>CONTRIBUIÇÃO PARA O CUSTEIO DO SERVIÇO DE ILUMINAÇÃO PÚBLICA</t>
  </si>
  <si>
    <t>Contribuição para o Custeio do Serviço de Iluminação Pública - Territorial</t>
  </si>
  <si>
    <t>Contribuição para o Custeio do Serviço de Iluminação Pública - Predial</t>
  </si>
  <si>
    <t>RECEITA PATRIMONIAL</t>
  </si>
  <si>
    <t>EXPLORAÇÃO DO PATRIMÔNIO IMOBILIÁRIO DO ESTADO</t>
  </si>
  <si>
    <t>ALUGUÉIS, ARRENDAMENTOS, FOROS, LAUDÊMIOS, TARIFAS DE OCUPAÇÃO</t>
  </si>
  <si>
    <t>ALUGUÉIS E ARRENDAMENTOS</t>
  </si>
  <si>
    <t>Aluguéis de Imóveis Próprios Públicos</t>
  </si>
  <si>
    <t>FOROS, LAUDÊMIOS E TARIFAS DE OCUPAÇÃO</t>
  </si>
  <si>
    <t>Foros, Laudêmios e Tarifas de Ocupação - Principal</t>
  </si>
  <si>
    <t>CONCESSÃO, PERMISSÃO, AUTORIZAÇÃO OU CESSÃO DO DIREITO DE USO DE BENS IMÓVEIS PÚBLICOS</t>
  </si>
  <si>
    <t>Receita com Utilização do Centro da Juventude Fuad Cury</t>
  </si>
  <si>
    <t>Concessão Onerosa - Arena Esportiva Farma Conde</t>
  </si>
  <si>
    <t>VALORES MOBILIÁRIOS</t>
  </si>
  <si>
    <t>JUROS E CORREÇÕES MONETÁRIAS</t>
  </si>
  <si>
    <t>REMUNERAÇÃO DE DEPÓSITOS BANCÁRIOS</t>
  </si>
  <si>
    <t>Juros Banc. Op. Financeiras - Fundeb</t>
  </si>
  <si>
    <t>Juros Banc. Op. Financeiras - Fundo Municipal de Saúde - FMS</t>
  </si>
  <si>
    <t>Juros Banc. Op. Financeiras - SUS Gestão Plena</t>
  </si>
  <si>
    <t>Juros Banc. Op. Financeiras - AIDS/DST</t>
  </si>
  <si>
    <t>Juros Banc. Op. Financeiras - SUS Municipalização</t>
  </si>
  <si>
    <t>Juros Banc. Op. Financeiras - Fundo Nacional de Saúde - FNS</t>
  </si>
  <si>
    <t>Juros Banc. Op. Financeiras - Secretaria Municipal de Educação - SME</t>
  </si>
  <si>
    <t>Juros Banc. Op. Financeiras - Salário Educação</t>
  </si>
  <si>
    <t>Juros Banc. Op. Financeiras - Programa Nacional de Alimentação Escolar - PNAE/FNDE</t>
  </si>
  <si>
    <t>Juros Banc. Op. Financeiras - Contribuição de Intervenção no Domínio Econômico - CIDE</t>
  </si>
  <si>
    <t>Juros Banc. Op. Financeiras - Fundo Nacional de Assistência Social - FNAS</t>
  </si>
  <si>
    <t>Juros Banc. Op. Financeiras - Contribuição para o Custeio do Serviço de Iluminação Pública</t>
  </si>
  <si>
    <t>Juros Banc. Op. Financeiras - Multas de Trânsito</t>
  </si>
  <si>
    <t>Juros Banc. Op. Financeiras - Zona Azul e Outros</t>
  </si>
  <si>
    <t>Juros Banc. Op. Financeiras - Fundo de Apoio ao Desporto Joseense - FADEJ</t>
  </si>
  <si>
    <t>Juros Banc. Op. Financeiras - Convênios Fundo Nacional de Desenvolvimento da Educação - FNDE</t>
  </si>
  <si>
    <t>Juros Banc. Op. Financeiras - Programa Minha Casa Minha Vida</t>
  </si>
  <si>
    <t>Juros Banc. Op. Financeiras - Fundo Estadual de Recursos Hídricos - FEHIDRO</t>
  </si>
  <si>
    <t>Juros Banc. Op. Financeiras - Secretaria de Habitação</t>
  </si>
  <si>
    <t>Juros Banc. Op. Financeiras - Convênio Fundicad - Educação</t>
  </si>
  <si>
    <t>Juros Banc. Op. Financeiras - Convênios Estaduais - Banco do Povo Paulista</t>
  </si>
  <si>
    <t>Juros Banc. Op. Financeiras - Fundo Estadual de Assistência Social - FEAS - Proteção Social Básica, Especial de Média e Alta Complexidade</t>
  </si>
  <si>
    <t>Juros Banc. Op. Financeiras - Royalties</t>
  </si>
  <si>
    <t>Juros Banc. Op. Financeiras - Conv. Agevap - Assoc. Pró-Gestão das Águas da Bacia Hidrográfica do Rio Paraíba do Sul - Programa de Pagto Por Serv. Ambientais - PSA</t>
  </si>
  <si>
    <t>Juros Banc. Op. Financeiras - Fundo Social de Solidariedade</t>
  </si>
  <si>
    <t>Juros Banc. Op. Financeiras - Fundação de Proteção e Defesa do Consumidor - Procon</t>
  </si>
  <si>
    <t>Juros Banc. Op. Financeiras - Fundo Municipal de Conservação Ambiental - Fumcam</t>
  </si>
  <si>
    <t>Juros Banc. Op. Financeiras - Fundo Municipal de Serviços Ecossistêmicos - FMSE</t>
  </si>
  <si>
    <t>Juros Banc. Op. Financeiras - Fundo Municipal de Habitação - FMH</t>
  </si>
  <si>
    <t>Juros Banc. Op. Financeiras - Brasil Carinhoso - Manutenção de Novas Turmas</t>
  </si>
  <si>
    <t>Juros Banc. Op. Financeiras - Programa Nacional de Apoio ao Transporte Escolar - PNATE</t>
  </si>
  <si>
    <t>Juros Banc. Op. Financeiras - Programa Dinheiro Direto na Escola - PDDE</t>
  </si>
  <si>
    <t>Juros Banc. Op. Financeiras - Fundo Social de Solidariedade do Estado de São Paulo - Fussesp - Aluguel Social</t>
  </si>
  <si>
    <t>Juros Banc. Op. Financeiras - Fundo Municipal de Turismo - Fumtur</t>
  </si>
  <si>
    <t>Juros Banc. Op. Financeiras - Fundo Nacional de Desenvolvimento da Educação - FNDE - Manutenção Educação Infantil - Novos Estabelecimentos</t>
  </si>
  <si>
    <t>Juros Banc. Op. Financeiras - Fundo Municipal de Transporte - Serviço de Transporte Privado</t>
  </si>
  <si>
    <t>Juros Banc. Op. Financeiras - Fundo Municipal do Idoso - Fumid</t>
  </si>
  <si>
    <t>Juros Banc. Op. Financeiras - Termo de Compromisso MRV - Campo da Mata e Flores/Construção Escola Jardim Mesquita</t>
  </si>
  <si>
    <t>Juros Banc. Op. Financeiras - Modernização da Iluminação Pública</t>
  </si>
  <si>
    <t>Juros Banc. Op. Financeiras - Recursos Próprios</t>
  </si>
  <si>
    <t>Juros Banc. Op. Financeiras - SABESP</t>
  </si>
  <si>
    <t>Juros Banc. Op. Financeiras - Depósitos Judiciais</t>
  </si>
  <si>
    <t>Juros Banc. Op. Financeiras - ABIM</t>
  </si>
  <si>
    <t>Juros Banc. Op. Financeiras - SUS Custeio de Ação e Serviços Públicos de Saúde</t>
  </si>
  <si>
    <t>Juros Banc. Op. Financeiras - Fundo Municipal de Transporte - Serviço de Compartilhamento de Bicicletas e Patinetes</t>
  </si>
  <si>
    <t>Juros Banc. Op. Financeiras - Convênio Agência Nacional de Águas - Revitalização da Bacia Hidrográfica do Rio do Peixe no Distrito de São Francisco Xavier</t>
  </si>
  <si>
    <t>Juros Banc. Op. Financeiras - Multas por Auto de Infração - Procon</t>
  </si>
  <si>
    <t>Juros Banc. Op. Financeiras - Convênio de Instituições Privadas de Ensino na Área de Saúde - Contrapartida</t>
  </si>
  <si>
    <t>Juros Banc. Op. Financeiras - Fundo Municipal de Desenvolvimento Urbano - FMDU</t>
  </si>
  <si>
    <t>Juros Banc. Op. Financeiras - Termo de Compromisso MRV - Estrada Municipal do Bom Retiro</t>
  </si>
  <si>
    <t>Juros Banc. Op. Financeiras - Doação Causa Animal - IPTU</t>
  </si>
  <si>
    <t>Juros Banc. Op. Financeiras - Convênio Estadual - Aquisição de medicamentos para dispensação na atenção básica</t>
  </si>
  <si>
    <t>Juros Banc. Op. Financeiras - FMS - Fundo Municipal de Saúde - Tratamento e Diagnóstico de Câncer</t>
  </si>
  <si>
    <t>Juros Banc. Op. Financeiras - Atividade Complementar Guarda Civil Municipal</t>
  </si>
  <si>
    <t>Juros Banc. Op. Financeiras - Compensação Financeira Recursos Minerais - CFEM</t>
  </si>
  <si>
    <t>Juros Banc. Op. Financeiras - Emenda SIGTV Unidade Vicentina</t>
  </si>
  <si>
    <t>Juros Banc. Op. Financeiras - Cessão Onerosa do Bônus de Assinatura do Pré-Sal</t>
  </si>
  <si>
    <t>Juros Banc. Op. Financeiras - Repasse TJ-SP - Combate ao Coronavírus</t>
  </si>
  <si>
    <t>Juros Banc. Op. Financeiras - Termo de Compromisso Ambiental REVAP Banhado</t>
  </si>
  <si>
    <t>Juros Banc. Op. Financeiras - Termo de Compromisso Ambiental REVAP Pq Augusto Ruschi</t>
  </si>
  <si>
    <t>Juros Banc. Op. Financeiras - Termo de Compromisso Ambiental REVAP Plano de Trabalho Banhado</t>
  </si>
  <si>
    <t>Juros Banc. Op. Financeiras - Acordo MPSP-PMSJC - Combate ao Covid-19</t>
  </si>
  <si>
    <t>Juros Banc. Op. Financeiras - FNAS - Recurso para Combate ao Coronavírus</t>
  </si>
  <si>
    <t>Juros Banc. Op. Financeiras - Emenda parlamentar - Obras de Infraestrutura Viária Arena Municipal de Esportes</t>
  </si>
  <si>
    <t>Juros Banc. Op. Financeiras - Emenda Parlamentar - Proteção ao Cidadão</t>
  </si>
  <si>
    <t>Juros Banc. Op. Financeiras - Polo Gerador de Trafégo - Fundo Municipal de Transporte</t>
  </si>
  <si>
    <t>Juros Banc. Op. Financeiras - Repasse MPT - Compra de EPI's - Combate ao Coronavírus</t>
  </si>
  <si>
    <t>Juros Banc. Op. Financeiras - Outorga Onerosa - Zona Azul</t>
  </si>
  <si>
    <t>Juros Banc. Op. Financeiras - Repasse MPT - Combate ao Covid-19</t>
  </si>
  <si>
    <t>Juros Banc. Op. Financeiras - Convênio Estadual Implantação de Academia ao Ar Livre</t>
  </si>
  <si>
    <t>Juros Banc. Op. Financeiras - COAPES - Contrato Organizativo de Ação Pública Ensino - Saúde</t>
  </si>
  <si>
    <t>Juros Banc. Op. Financeiras - Operação Urbana Consorciada do Bairro Urbanova</t>
  </si>
  <si>
    <t>Juros Banc. Op. Financeiras - Linha Verde - Convênio com Estado de São Paulo/SDR</t>
  </si>
  <si>
    <t>Juros Banc. Op. Financeiras - Convênio Secretaria de Desenvolvimento Regional/SDR - Infraestrutura Urbana</t>
  </si>
  <si>
    <t>Juros Banc. Op. Financeiras - Convênio Ministério da Ciência, Tecnologia, Inovação e Comunicações - Obras de Melhoria e Adequação Pq Tecnológico - Via Emenda Parlamentar</t>
  </si>
  <si>
    <t>Juros Banc. Op. Financeiras - Fundo Municipal dos Direitos da Criança e do Adolescente - FUMDICAD</t>
  </si>
  <si>
    <t>Juros Banc. Op. Financeiras - Convênio Estadual Revitalização e Modern. Pista de Skate do Vista Verde</t>
  </si>
  <si>
    <t>Juros Banc. Op. Financeiras - FNAS - Emenda Parlamentar</t>
  </si>
  <si>
    <t>Juros Banc. Op. Financeiras - Convênio Ministério da Cidadania - Implantação do Projeto Skate na Cidade</t>
  </si>
  <si>
    <t>Juros Banc. Op. Financeiras - Emenda Parlamentar Estadual - Convênio SSP-SP - Secretaria de Proteção ao Cidadão</t>
  </si>
  <si>
    <t>Juros Banc. Op. Financeiras - Repasse MPT - Aquisição de Tomógrafo</t>
  </si>
  <si>
    <t>Juros Banc. Op. Financeiras - FEAS - Abrigo Institucional e Casa de Passagem</t>
  </si>
  <si>
    <t>Juros Banc. Op. Financeiras - Convênio Ministério da Cidadania - Implantação de Núcleo de Alto Rendimento da Modalidade Rugby</t>
  </si>
  <si>
    <t>Juros Banc. Op. Financeiras - Outorga Aeroporto Professor Urbano Stumpf</t>
  </si>
  <si>
    <t>Juros Banc. Op. Financeiras - Ministério da Cidadania IGD - Programa Auxílio Brasil</t>
  </si>
  <si>
    <t>Juros Banc. Op. Financeiras - Concessão Onerosa - Arena Esportiva Farma Conde</t>
  </si>
  <si>
    <t>Juros Banc. Op. Financeiras - Obras de Revitalização e Modernização do Centro Esportivo Mário Weiss - Emenda Parlamentar</t>
  </si>
  <si>
    <t>Juros Banc. Op. Financeiras - Recurso Estadual - Programa Cad Único</t>
  </si>
  <si>
    <t>Juros Banc. Op. Financeiras - Convênio Secretaria de Educação do Estado - Programa de Transporte de Alunos da Rede Estadual de Ensino</t>
  </si>
  <si>
    <t>Juros Banc. Op. Financeiras - Programa Prospera Família</t>
  </si>
  <si>
    <t>Juros Banc. Op. Financeiras - Emenda Parlamentar – Associação Virgem de Guadalupe</t>
  </si>
  <si>
    <t>Juros Banc. Op. Financeiras - Convênio SDE-SP – Formação de Professores e Gestores do CITE e CEDEMP</t>
  </si>
  <si>
    <t>Juros Banc. Op. Financeiras - Convênio Estadual - Cidadania no Campo - Município Agro</t>
  </si>
  <si>
    <t>Juros Banc. Op. Financeiras - Emenda Parlamentar - Investimentos Diversos</t>
  </si>
  <si>
    <t>Juros Banc. Op. Financeiras - Convênio CDHU - Programa Morar Bem Viver Melhor</t>
  </si>
  <si>
    <t>Juros Banc. Op. Financeiras - Convênio Secretaria de Esportes do Estado de São Paulo – Realização de Projeto Esportivo</t>
  </si>
  <si>
    <t>Juros Banc. Op. Financeiras - Cobertura Ginásio Tânia Maria de Carvalho</t>
  </si>
  <si>
    <t>Juros Banc. Op. Financeiras - Assistência Financeira Transporte Coletivo - Art. 5º, inciso IV - EC nº 123/2022</t>
  </si>
  <si>
    <t xml:space="preserve">Juros Banc. Op. Financeiras - Compensação Ambiental - Sistema Viário Via Cambuí </t>
  </si>
  <si>
    <t>DIVIDENDOS</t>
  </si>
  <si>
    <t>Dividendos - Principal</t>
  </si>
  <si>
    <t>TRANSFERÊNCIAS CORRENTES</t>
  </si>
  <si>
    <t>TRANSFERÊNCIAS DA UNIÃO E DE SUAS ENTIDADES</t>
  </si>
  <si>
    <t>TRANSFERÊNCIAS DECORRENTES DE PARTICIPAÇÃO NA RECEITA DA UNIÃO</t>
  </si>
  <si>
    <t>COTA-PARTE DO FUNDO DE PARTICIPAÇÃO DOS MUNICÍPIOS - FPM</t>
  </si>
  <si>
    <t>COTA-PARTE DO FUNDO DE PARTICIPAÇÃO DOS MUNICÍPIOS - COTA MENSAL</t>
  </si>
  <si>
    <t>Cota-Parte do Fundo de Participação dos Municípios - Cota Mensal - Principal</t>
  </si>
  <si>
    <t>COTA-PARTE DO FUNDO DE PARTICIPAÇÃO DO MUNICÍPIOS – COTAS EXTRAORDINÁRIAS</t>
  </si>
  <si>
    <t>Cota-Parte do Fundo de Participação do Municípios - 1% Cota entregue no mês de dezembro - EC 55/2007</t>
  </si>
  <si>
    <t>Cota-Parte do Fundo de Participação dos Municípios - 1% Cota entregue no mês de julho - EC 84/2014</t>
  </si>
  <si>
    <t>Cota-Parte do Fundo de Participação do Municípios – 1% Cota entregue no mês de setembro - EC 112/2021</t>
  </si>
  <si>
    <t>COTA-PARTE DO IMPOSTO SOBRE A PROPRIEDADE TERRITORIAL RURAL</t>
  </si>
  <si>
    <t>Cota-Parte do Imposto Sobre a Propriedade Territorial Rural - ITR</t>
  </si>
  <si>
    <t>TRANSFERÊNCIAS DAS COMPENSAÇÕES FINANCEIRAS PELA EXPLORAÇÃO DE RECURSOS NATURAIS</t>
  </si>
  <si>
    <t>COTA-PARTE DA COMPENSAÇÃO FINANCEIRA PELA EXPLORAÇÃO DE RECURSOS HÍDRICOS</t>
  </si>
  <si>
    <t>Cota-parte da Compensação Financeira de Recursos Hídricos - CFH</t>
  </si>
  <si>
    <t>COTA-PARTE DA COMPENSAÇÃO FINANCEIRA PELA EXPLORAÇÃO DE RECURSOS MINERAIS - CFEM</t>
  </si>
  <si>
    <t>Cota-parte da Compensação Financeira de Recursos Minerais - CFEM</t>
  </si>
  <si>
    <t xml:space="preserve">COTA-PARTE DA COMPENSAÇÃO FINANCEIRA PELA PRODUÇÃO DE PETRÓLEO </t>
  </si>
  <si>
    <t>COTA-PARTE DA COMPENSAÇÃO FINANCEIRA PELA PRODUÇÃO DE PETRÓLEO – LEI Nº 7.990/89</t>
  </si>
  <si>
    <t>Cota-parte Royalties - Compensação Financeira pela Produção de Petróleo - Lei nº 7.990/89</t>
  </si>
  <si>
    <t>COTA-PARTE PELO EXCEDENTE DA PRODUÇÃO DO PETRÓLEO – LEI Nº 9.478/97, ARTIGO 49, I E II</t>
  </si>
  <si>
    <t>Cota-Parte Royalties pelo Excedente da Produção do Petróleo - Lei nº 9.478/97, Artigo 49, I e II - Principal</t>
  </si>
  <si>
    <t>COTA-PARTE DO FUNDO ESPECIAL DO PETRÓLEO – FEP</t>
  </si>
  <si>
    <t>Cota-Parte do Fundo Especial do Petróleo – FEP - Principal</t>
  </si>
  <si>
    <t>TRANSFERÊNCIAS DE RECURSOS DO SISTEMA ÚNICO DE SAÚDE – SUS </t>
  </si>
  <si>
    <t>TRANSFERÊNCIAS DE RECURSOS DO SISTEMA ÚNICO DE SAÚDE – SUS – REPASSES FUNDO A FUNDO - BLOCO DE MANUTENÇÃO DAS AÇÕES E SERVIÇOS PÚBLICOS DE SAÚDE</t>
  </si>
  <si>
    <t>TRANSFERÊNCIAS DE RECURSOS DO BLOCO DE MANUTENÇÃO DAS AÇÕES E SERVIÇOS PÚBLICOS DE SAÚDE – ATENÇÃO PRIMÁRIA</t>
  </si>
  <si>
    <t>SUS - Piso Atenção Básica Ampliada - PABA</t>
  </si>
  <si>
    <t>SUS - Atenção Básica - Agente Comunitário de Saúde</t>
  </si>
  <si>
    <t>TRANSFERÊNCIAS DE RECURSOS DO BLOCO DE MANUTENÇÃO DAS AÇÕES E SERVIÇOS PÚBLICOS DE SAÚDE – ATENÇÃO ESPECIALIZADA</t>
  </si>
  <si>
    <t>SUS - Gestão Plena - Sistema de Informações Hospitalares - SIH</t>
  </si>
  <si>
    <t>TRANSFERÊNCIAS DE RECURSOS DO BLOCO DE MANUTENÇÃO DAS AÇÕES E SERVIÇOS PÚBLICOS DE SAÚDE – VIGILÂNCIA EM SAÚDE</t>
  </si>
  <si>
    <t>SUS - Vigilância em Saúde - Teto Financeiro da Vigilância Sanitária - TFVS</t>
  </si>
  <si>
    <t>SUS - Vigilância em Saúde - AIDS</t>
  </si>
  <si>
    <t>SUS - Vigilância em Saúde - Agentes de Combate às Endemias</t>
  </si>
  <si>
    <t>TRANSFERÊNCIAS DE RECURSOS DO BLOCO DE MANUTENÇÃO DAS AÇÕES E SERVIÇOS PÚBLICOS DE SAÚDE – ASSISTÊNCIA FARMACÊUTICA</t>
  </si>
  <si>
    <t>SUS - Assistência Farmacêutica - Aquisição de Medicamentos</t>
  </si>
  <si>
    <t>TRANSFERÊNCIAS DE RECURSOS DO FUNDO NACIONAL DO DESENVOLVIMENTO DA EDUCAÇÃO – FNDE¿ </t>
  </si>
  <si>
    <t>TRANSFERÊNCIAS DO SALÁRIO-EDUCAÇÃO</t>
  </si>
  <si>
    <t>Transferência do Salário Educação - Principal</t>
  </si>
  <si>
    <t>TRANSFERÊNCIAS REFERENTES AO PROGRAMA NACIONAL DE ALIMENTAÇÃO ESCOLAR – PNAE</t>
  </si>
  <si>
    <t>Programa Nacional de Alimentação Escolar - PNAE - Pré-Escola</t>
  </si>
  <si>
    <t>Programa Nacional de Alimentação Escolar - PNAE - Atendimento Educacional Especializado - AEE</t>
  </si>
  <si>
    <t>Programa Nacional de Alimentação Escolar - PNAE - Creche</t>
  </si>
  <si>
    <t>Programa Nacional de Alimentação Escolar - PNAE - Ensino Fundamental</t>
  </si>
  <si>
    <t>Programa Nacional de Alimentação Escolar - PNAE - Educação de Jovens e Adultos - EJA</t>
  </si>
  <si>
    <t>Programa Nacional de Alimentação Escolar - PNAE - Ensino Médio</t>
  </si>
  <si>
    <t>TRANSFERÊNCIAS REFERENTES AO PROGRAMA NACIONAL DE APOIO AO TRANSPORTE DO ESCOLAR – PNATE</t>
  </si>
  <si>
    <t>Programa Nacional de Apoio ao Transporte Escolar - PNATE</t>
  </si>
  <si>
    <t>TRANSFERÊNCIAS DE RECURSOS DO FUNDO NACIONAL DE ASSISTÊNCIA SOCIAL – FNAS </t>
  </si>
  <si>
    <t>TRANSFERÊNCIAS DE RECURSOS DO FUNDO NACIONAL DE ASSISTÊNCIA SOCIAL – FNAS</t>
  </si>
  <si>
    <t>Transferências de Recursos do Fundo Nacional de Assistência Social - FNAS</t>
  </si>
  <si>
    <t>Programa Criança Feliz - Fundo Nacional de Assistência Social - FNAS</t>
  </si>
  <si>
    <t>Ministério da Cidadania IGD - Programa Auxílio Brasil</t>
  </si>
  <si>
    <t>TRANSFERÊNCIAS DE CONVÊNIOS DA UNIÃO E DE SUAS ENTIDADES</t>
  </si>
  <si>
    <t>OUTRAS TRANSFERÊNCIAS DE RECURSOS DA UNIÃO E DE SUAS ENTIDADES</t>
  </si>
  <si>
    <t>Programa Minha Casa Minha Vida</t>
  </si>
  <si>
    <t>FNDE - Plano de Ações Articuladas - Reforma EMEF Silvana Maria Ribeiro de Almeida</t>
  </si>
  <si>
    <t>TRANSFERÊNCIA OBRIGATÓRIA DECORRENTE DA LEI COMPLEMENTAR Nº 176/2020</t>
  </si>
  <si>
    <t>Compensação da União - LC 176/2020</t>
  </si>
  <si>
    <t>TRANSFERÊNCIAS DOS ESTADOS E DO DISTRITO FEDERAL E DE SUAS ENTIDADES</t>
  </si>
  <si>
    <t>PARTICIPAÇÃO NA RECEITA DOS ESTADOS E DISTRITO FEDERAL</t>
  </si>
  <si>
    <t>COTA-PARTE DO ICMS</t>
  </si>
  <si>
    <t>Cota-Parte do ICMS</t>
  </si>
  <si>
    <t>COTA-PARTE DO IPVA</t>
  </si>
  <si>
    <t>Cota-Parte do IPVA</t>
  </si>
  <si>
    <t>COTA-PARTE DO IPI - MUNICÍPIOS</t>
  </si>
  <si>
    <t>Cota-Parte do IPI - Exportação - Lei 61/1989</t>
  </si>
  <si>
    <t>COTA-PARTE DA CONTRIBUIÇÃO DE INTERVENÇÃO NO DOMÍNIO ECONÔMICO</t>
  </si>
  <si>
    <t>Cota-Parte da Contribuição de Intervenção no Domínio Econômico</t>
  </si>
  <si>
    <t>TRANSFERÊNCIAS DE CONVÊNIOS DOS ESTADOS E DF E DE SUAS ENTIDADES</t>
  </si>
  <si>
    <t>TRANSFERÊNCIAS DE CONVÊNIOS DOS ESTADOS E DF PARA O SISTEMA ÚNICO DE SAÚDE – SUS</t>
  </si>
  <si>
    <t>SUS - Municipalização</t>
  </si>
  <si>
    <t>TRANSFERÊNCIAS DE CONVÊNIOS DOS ESTADOS DESTINADAS A PROGRAMAS DE EDUCAÇÃO</t>
  </si>
  <si>
    <t>Convênio Secretaria de Educação do Estado - Programa de Transporte de Alunos da Rede Estadual de Ensino</t>
  </si>
  <si>
    <t>OUTRAS TRANSFERÊNCIAS DE CONVÊNIOS DOS ESTADOS E DF E DE SUAS ENTIDADES</t>
  </si>
  <si>
    <t>Fundo Estadual de Recursos Hídricos - FEHIDRO</t>
  </si>
  <si>
    <t>Convênio com a Fundação de Proteção e Defesa do Consumidor - PROCON</t>
  </si>
  <si>
    <t>OUTRAS TRANSFERÊNCIAS DOS ESTADOS E DISTRITO FEDERAL</t>
  </si>
  <si>
    <t>TRANSFERÊNCIAS DE ESTADOS DESTINADAS À ASSISTÊNCIA SOCIAL</t>
  </si>
  <si>
    <t>Fundo Estadual de Assistência Social - FEAS - Proteção Social Básica, Especial de Média e Alta Complexidade</t>
  </si>
  <si>
    <t>TRANSFERÊNCIAS DE INSTITUIÇÕES PRIVADAS</t>
  </si>
  <si>
    <t>TRANSFERÊNCIAS DE CONVÊNIOS DE INSTITUIÇÕES PRIVADAS PARA PROGRAMAS DE SAÚDE</t>
  </si>
  <si>
    <t>Convênio de Instituições Privadas de Ensino na Área de Saúde - Contrapartida</t>
  </si>
  <si>
    <t>TRANSFERÊNCIAS DE OUTRAS INSTITUIÇÕES PÚBLICAS</t>
  </si>
  <si>
    <t>TRANSFERÊNCIAS DE RECURSOS DO FUNDO DE MANUTENÇÃO E DESENVOLVIMENTO DA EDUCAÇÃO BÁSICA E DE VALORIZAÇÃO DOS PROFISSIONAIS DA EDUCAÇÃO - FUNDEB</t>
  </si>
  <si>
    <t>TRANSFERÊNCIAS DE RECURSOS DO FUNDO DE MANUTENÇÃO E DESENVOLVIMENTO DA EDUCAÇÃO BÁSICA E DE VALORIZAÇÃO DOS PROFISSIONAIS DA EDUCAÇÃO – FUNDEB</t>
  </si>
  <si>
    <t>FUNDEB - FPM</t>
  </si>
  <si>
    <t>FUNDEB - ITR</t>
  </si>
  <si>
    <t>FUNDEB - ICMS</t>
  </si>
  <si>
    <t>FUNDEB - IPI</t>
  </si>
  <si>
    <t>FUNDEB - IPVA</t>
  </si>
  <si>
    <t>FUNDEB - ITCMD</t>
  </si>
  <si>
    <t>FUNDEB - FPE</t>
  </si>
  <si>
    <t>FUNDEB - VAAR - Valor Aluno Ano por Resultado</t>
  </si>
  <si>
    <t>OUTRAS RECEITAS CORRENTES</t>
  </si>
  <si>
    <t>MULTAS ADMINISTRATIVAS, CONTRATUAIS E JUDICIAIS</t>
  </si>
  <si>
    <t>MULTAS PREVISTAS EM LEGISLAÇÃO ESPECÍFICA</t>
  </si>
  <si>
    <t>MULTAS PREVISTAS EM LEGISLAÇÃO ESPECÍFICA -  PRINCIPAL</t>
  </si>
  <si>
    <t>Multas por Auto de Infração - Recursos Próprios</t>
  </si>
  <si>
    <t>Multas por Auto de Infração - Fundo Municipal de Saúde - FMS</t>
  </si>
  <si>
    <t>Multas por Auto de Infração - Vigilância Sanitária</t>
  </si>
  <si>
    <t>Multas por Auto de Infração - Combate à Dengue</t>
  </si>
  <si>
    <t>Multas por Auto de Infração - Procon</t>
  </si>
  <si>
    <t>MULTAS PREVISTAS EM LEGISLAÇÃO ESPECÍFICA -  MULTAS E JUROS</t>
  </si>
  <si>
    <t>Juros de Mora - Procon</t>
  </si>
  <si>
    <t>MULTAS PREVISTAS EM LEGISLAÇÃO ESPECÍFICA -  DÍVIDA ATIVA</t>
  </si>
  <si>
    <t>Dívida Ativa Não Tributária - Multas por Auto de Infração - Recursos Próprios</t>
  </si>
  <si>
    <t>Dívida Ativa - Multa por Auto de Infração - Procon</t>
  </si>
  <si>
    <t>MULTAS PREVISTAS EM LEGISLAÇÃO ESPECÍFICA - DÍVIDA ATIVA - MULTAS E JUROS</t>
  </si>
  <si>
    <t>Dívida Ativa - Juros de Mora, Multa e Atualização Monetária - Procon</t>
  </si>
  <si>
    <t>MULTAS PREVISTAS NO CÓDIGO DE TRÂNSITO BRASILEIRO - CTB</t>
  </si>
  <si>
    <t>Multas Previstas na Legislação de Trânsito - Normal</t>
  </si>
  <si>
    <t>Multas Previstas na Legislação de Trânsito - Funset</t>
  </si>
  <si>
    <t>Div. Ativa Não Trib. - Multas Prev. Legislação de Trânsito - Normal</t>
  </si>
  <si>
    <t>Div. Ativa Não Trib. - Multas Prev. Legislação de Trânsito - Parcelamento</t>
  </si>
  <si>
    <t>INDENIZAÇÕES, RESTITUIÇÕES E RESSARCIMENTOS</t>
  </si>
  <si>
    <t>INDENIZAÇÕES</t>
  </si>
  <si>
    <t>OUTRAS INDENIZAÇÕES</t>
  </si>
  <si>
    <t>Indenizações</t>
  </si>
  <si>
    <t>RESTITUIÇÕES</t>
  </si>
  <si>
    <t>RESTITUIÇÃO DE DESPESAS DE EXERCÍCIOS ANTERIORES</t>
  </si>
  <si>
    <t>RESTITUIÇÃO DE DESPESAS PRIMÁRIAS DE EXERCÍCIOS ANTERIORES</t>
  </si>
  <si>
    <t>Restituição de Despesas de Exercícios Anteriores</t>
  </si>
  <si>
    <t>DEMAIS RECEITAS CORRENTES</t>
  </si>
  <si>
    <t>OUTRAS RECEITAS</t>
  </si>
  <si>
    <t xml:space="preserve">OUTRAS RECEITAS NÃO ARRECADADAS E NÃO PROJETADAS PELA RFB - PRIMÁRIAS  </t>
  </si>
  <si>
    <t>Fundo Municipal de Assistência Social - FMAS</t>
  </si>
  <si>
    <t>Fundo de Apoio ao Desporto Joseense - FADEJ</t>
  </si>
  <si>
    <t>Fundo Municipal de Turismo - FUMTUR</t>
  </si>
  <si>
    <t>Diversas Rendas - Recursos Próprios</t>
  </si>
  <si>
    <t>Diversas Rendas - Fundo Municipal de Saúde - FMS</t>
  </si>
  <si>
    <t>Zona Azul e outras</t>
  </si>
  <si>
    <t>Fundo Social de Solidariedade</t>
  </si>
  <si>
    <t>Fundo Municipal Antidrogas</t>
  </si>
  <si>
    <t>Contrato Sabesp - 5% da Rec. Líquida</t>
  </si>
  <si>
    <t>Fundo Municipal de Habitação - FMH</t>
  </si>
  <si>
    <t>Fundo Municipal de Preservação do Patr. Histórico, Artístico, Paisagístico e Cultural - FUMPHAC</t>
  </si>
  <si>
    <t>Fundo Municipal do Idoso</t>
  </si>
  <si>
    <t>Fundo Municipal de Serviços Ecossistêmicos</t>
  </si>
  <si>
    <t>Fundo Municipal de Conservação Ambiental - FUMCAM</t>
  </si>
  <si>
    <t>Fundo Municipal de Transportes - Serviço de Transporte Privado</t>
  </si>
  <si>
    <t>Fundo Municipal de Transportes -  Serviço de Compartilhamento de Bicicletas e Patinetes</t>
  </si>
  <si>
    <t>Doação Causa Animal - IPTU</t>
  </si>
  <si>
    <t>Fundo Municipal de Desenvolvimento Urbano - FMDU</t>
  </si>
  <si>
    <t>Atividade Complementar Guarda Civil Municipal</t>
  </si>
  <si>
    <t>Fundo Municipal dos Direitos da Criança e do Adolescente - FUMDICAD</t>
  </si>
  <si>
    <t>Divida Ativa Não Tributária - Outras</t>
  </si>
  <si>
    <t>Multas e Juros de Mora da Dívida Ativa de Outros Tributos</t>
  </si>
  <si>
    <t>RECEITAS DE CAPITAL</t>
  </si>
  <si>
    <t>TRANSFERÊNCIAS DE CAPITAL</t>
  </si>
  <si>
    <t>TRANSFERÊNCIAS DE CONVÊNIOS DOS ESTADOS E DF E DE SUAS ENTIDADES </t>
  </si>
  <si>
    <t>Convênio Departamento de Estradas e Rodagem - DER - Via Jaguari</t>
  </si>
  <si>
    <t>OUTRAS TRANSFERÊNCIAS DE INSTITUIÇÕES PRIVADAS</t>
  </si>
  <si>
    <t>Convênio de Instituições Privadas de Ensino na Área de Saúde - Contrapartida - Investimentos</t>
  </si>
  <si>
    <t>Polo Gerador de Trafégo - Fundo Municipal de Transporte</t>
  </si>
  <si>
    <t>COAPES - Contrato Organizativo de Ação Pública Ensino - Saúde</t>
  </si>
  <si>
    <t>Dedução da Receita Corrente</t>
  </si>
  <si>
    <t>Dedução</t>
  </si>
  <si>
    <t>Dedução da Receita</t>
  </si>
  <si>
    <t>Dedução de Receita para Formação do Fundeb - União</t>
  </si>
  <si>
    <t>Dedução de Receita para Formação do Fundeb - FPM</t>
  </si>
  <si>
    <t>Dedução de Receita para Formação Do Fundeb - ITR</t>
  </si>
  <si>
    <t>Dedução para Formação do Fundeb - Estadual</t>
  </si>
  <si>
    <t>Dedução de Receita para Formação do Fundeb - ICMS</t>
  </si>
  <si>
    <t>Dedução de Receita para Formação do Fundeb - IPVA</t>
  </si>
  <si>
    <t>Dedução de Receita para Formação do Fundeb - IPI</t>
  </si>
  <si>
    <t>Soma de Receita Mês (R$)</t>
  </si>
  <si>
    <t>Soma de Receita Ano (R$)</t>
  </si>
  <si>
    <t>Soma de Receita Orçada (R$)</t>
  </si>
  <si>
    <t>(Vários itens)</t>
  </si>
  <si>
    <t>Receita Mês:</t>
  </si>
  <si>
    <t>Receita Ano:</t>
  </si>
  <si>
    <t>Receita Orçada: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</si>
</sst>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8">
    <xf numFmtId="0" fontId="0" fillId="0" borderId="0" xfId="0"/>
    <xf numFmtId="4" fontId="0" fillId="0" borderId="0" xfId="0" applyNumberFormat="1"/>
    <xf numFmtId="0" fontId="0" fillId="0" borderId="0" xfId="0" pivotButton="1"/>
    <xf numFmtId="0" fontId="0" fillId="0" borderId="0" xfId="0" applyNumberFormat="1"/>
    <xf numFmtId="44" fontId="0" fillId="0" borderId="0" xfId="42" applyFont="1"/>
    <xf numFmtId="0" fontId="16" fillId="0" borderId="0" xfId="0" applyFont="1"/>
    <xf numFmtId="0" fontId="16" fillId="0" borderId="10" xfId="0" applyFont="1" applyBorder="1"/>
    <xf numFmtId="44" fontId="0" fillId="0" borderId="10" xfId="42" applyFont="1" applyBorder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" xfId="42" builtinId="4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[Balancete SJCampos.xlsm]Planilha3!Tabela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669225721784778"/>
          <c:y val="0.14249781277340332"/>
          <c:w val="0.49664107611548558"/>
          <c:h val="0.750102799650043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Planilha3!$A$3</c:f>
              <c:strCache>
                <c:ptCount val="1"/>
                <c:pt idx="0">
                  <c:v>Soma de Receita Mês (R$)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Planilha3!$A$4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Planilha3!$A$4</c:f>
              <c:numCache>
                <c:formatCode>General</c:formatCode>
                <c:ptCount val="1"/>
                <c:pt idx="0">
                  <c:v>223668638.32999998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22-4FB0-8F18-D08831CC48B6}"/>
            </c:ext>
          </c:extLst>
        </c:ser>
        <c:ser>
          <c:idx val="1"/>
          <c:order val="1"/>
          <c:tx>
            <c:strRef>
              <c:f>Planilha3!$B$3</c:f>
              <c:strCache>
                <c:ptCount val="1"/>
                <c:pt idx="0">
                  <c:v>Soma de Receita Ano (R$)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Planilha3!$A$4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Planilha3!$B$4</c:f>
              <c:numCache>
                <c:formatCode>General</c:formatCode>
                <c:ptCount val="1"/>
                <c:pt idx="0">
                  <c:v>321950083.25999993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22-4FB0-8F18-D08831CC48B6}"/>
            </c:ext>
          </c:extLst>
        </c:ser>
        <c:ser>
          <c:idx val="2"/>
          <c:order val="2"/>
          <c:tx>
            <c:strRef>
              <c:f>Planilha3!$C$3</c:f>
              <c:strCache>
                <c:ptCount val="1"/>
                <c:pt idx="0">
                  <c:v>Soma de Receita Orçada (R$)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Planilha3!$A$4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Planilha3!$C$4</c:f>
              <c:numCache>
                <c:formatCode>General</c:formatCode>
                <c:ptCount val="1"/>
                <c:pt idx="0">
                  <c:v>1173895000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22-4FB0-8F18-D08831CC4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7596735"/>
        <c:axId val="931223055"/>
      </c:barChart>
      <c:catAx>
        <c:axId val="111759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1223055"/>
        <c:crosses val="autoZero"/>
        <c:auto val="1"/>
        <c:lblAlgn val="ctr"/>
        <c:lblOffset val="100"/>
        <c:noMultiLvlLbl val="0"/>
      </c:catAx>
      <c:valAx>
        <c:axId val="93122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759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E$5" fmlaRange="balancete_receita!$F:$F" noThreeD="1" sel="5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19EA0B4-1AC7-76B4-6824-0F14F48759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2</xdr:row>
          <xdr:rowOff>57150</xdr:rowOff>
        </xdr:from>
        <xdr:to>
          <xdr:col>11</xdr:col>
          <xdr:colOff>95250</xdr:colOff>
          <xdr:row>5</xdr:row>
          <xdr:rowOff>161925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7</xdr:row>
          <xdr:rowOff>180975</xdr:rowOff>
        </xdr:from>
        <xdr:to>
          <xdr:col>11</xdr:col>
          <xdr:colOff>323850</xdr:colOff>
          <xdr:row>12</xdr:row>
          <xdr:rowOff>133350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liani cristina" refreshedDate="45170.815559143521" createdVersion="8" refreshedVersion="8" minRefreshableVersion="3" recordCount="350" xr:uid="{0332BB33-8636-4C79-9BDB-0F26B812DEE2}">
  <cacheSource type="worksheet">
    <worksheetSource ref="A1:I351" sheet="balancete_receita"/>
  </cacheSource>
  <cacheFields count="9">
    <cacheField name="Ano" numFmtId="0">
      <sharedItems containsSemiMixedTypes="0" containsString="0" containsNumber="1" containsInteger="1" minValue="2023" maxValue="2023"/>
    </cacheField>
    <cacheField name="Mês" numFmtId="0">
      <sharedItems containsSemiMixedTypes="0" containsString="0" containsNumber="1" containsInteger="1" minValue="2" maxValue="2"/>
    </cacheField>
    <cacheField name="Classificação" numFmtId="0">
      <sharedItems containsSemiMixedTypes="0" containsString="0" containsNumber="1" containsInteger="1" minValue="10000000000" maxValue="917215201001"/>
    </cacheField>
    <cacheField name="Fonte" numFmtId="0">
      <sharedItems containsString="0" containsBlank="1" containsNumber="1" containsInteger="1" minValue="1" maxValue="7"/>
    </cacheField>
    <cacheField name="Rubrica" numFmtId="0">
      <sharedItems containsString="0" containsBlank="1" containsNumber="1" containsInteger="1" minValue="19" maxValue="2997"/>
    </cacheField>
    <cacheField name="Receita" numFmtId="0">
      <sharedItems count="330">
        <s v="RECEITAS CORRENTES"/>
        <s v="IMPOSTOS, TAXAS E CONTRIBUIÇÕES DE MELHORIA"/>
        <s v="IMPOSTOS"/>
        <s v="IMPOSTOS SOBRE O PATRIMÔNIO"/>
        <s v="IMPOSTO SOBRE A PROPRIEDADE PREDIAL E TERRITORIAL URBANA"/>
        <s v="Imposto sobre a Propriedade Predial Urbana"/>
        <s v="Imposto sobre a Propriedade Territorial Urbana"/>
        <s v="Imposto sobre a Propriedade Predial e Territorial Urbana - Multas e Juros"/>
        <s v="Imposto sobre a Propriedade Predial e Territorial Urbana - Dívida Ativa"/>
        <s v="Imposto sobre a Propriedade Predial e Territorial Urbana - Dívida Ativa - Multas e Juros"/>
        <s v="IMPOSTOS SOBRE TRANSMISSÃO &quot;INTER VIVOS&quot; DE BENS IMÓVEIS E DE DIREITOS REAIS SOBRE IMÓVEIS"/>
        <s v="Imposto sobre Transmissão “Inter Vivos” de Bens Imóveis e de Direitos Reais sobre Imóveis - Principal"/>
        <s v="Imposto sobre Transmissão “Inter Vivos” de Bens Imóveis e de Direitos Reais sobre Imóveis - Multas e Juros"/>
        <s v="IMPOSTOS SOBRE A RENDA E PROVENTOS DE QUALQUER NATUREZA"/>
        <s v="IMPOSTO SOBRE A RENDA - RETIDO NA FONTE"/>
        <s v="IMPOSTO SOBRE A RENDA - RETIDO NA FONTE - TRABALHO"/>
        <s v="Imposto sobre a Renda - Retido na Fonte - Trabalho - Principal"/>
        <s v="Imposto sobre a Renda - Retido na Fonte - Trabalho - Aposentados e Pensionistas"/>
        <s v="IMPOSTOS SOBRE A PRODUÇÃO E CIRCULAÇÃO DE MERCADORIAS E SERVIÇOS"/>
        <s v="IMPOSTOS SOBRE SERVIÇOS"/>
        <s v="IMPOSTO SOBRE SERVIÇOS DE QUALQUER NATUREZA - ISSQN"/>
        <s v="Imposto sobre Serviços de Qualquer Natureza - Não Lançado"/>
        <s v="Imposto sobre Serviços de Qualquer Natureza - Lançado"/>
        <s v="Imposto sobre Serviços de Qualquer Natureza - Super Simples"/>
        <s v="Imposto sobre Serviços de Qualquer Natureza - STN Convênio"/>
        <s v="Imposto sobre Serviços de Qualquer Natureza - Multas e Juros"/>
        <s v="Imposto sobre Serviços de Qualquer Natureza - Dívida Ativa"/>
        <s v="Imposto sobre Serviços de Qualquer Natureza - Dívida Ativa - Multas e Juros"/>
        <s v="TAXAS"/>
        <s v="TAXAS PELO EXERCÍCIO DO PODER DE POLÍCIA"/>
        <s v="TAXAS DE INSPEÇÃO, CONTROLE E FISCALIZAÇÃO"/>
        <s v="Taxa de Licença para Localização"/>
        <s v="Taxa de Fiscalização e Funcionamento"/>
        <s v="Taxa de Licença para o Exercício do Comércio Ambulante"/>
        <s v="Taxa de Licença Exec. Obras Partic., Arruam., Loteam., e Desmembramento"/>
        <s v="Taxa  de Licença para Publicidade"/>
        <s v="Taxa de Licença p/ Ocup. do Solo e Logradouros Públicos"/>
        <s v="Taxa p/ Permissão de Uso do Solo/ Subsolo/ Aéreo"/>
        <s v="Taxa de Conformidade de Obras e Serviços"/>
        <s v="Taxas de Inspeção, Controle e Fiscalização - Multas e Juros"/>
        <s v="TAXA DE FISCALIZAÇÃO DE VIGILÂNCIA SANITÁRIA"/>
        <s v="TAXAS PELA PRESTAÇÃO DE SERVIÇOS"/>
        <s v="Taxa de Coleta de Lixo"/>
        <s v="Taxa de Expediente"/>
        <s v="Taxa Apreensão, Dep. Bens, Alinh., Nivel. E Num. de Prédios"/>
        <s v="Taxa de Manutenção - Centro de Controle de Zoonoses - CCZ"/>
        <s v="CONTRIBUIÇÃO DE MELHORIA"/>
        <s v="CONTRIBUIÇÃO DE MELHORIA PARA PAVIMENTAÇÃO E OBRAS COMPLEMENTARES"/>
        <s v="Contribuição de Melhoria para Pavimentação e Obras Complementares - Principal"/>
        <s v="Contribuição de Melhoria para Pavimentação e Obras Complementares - Multas e Juros"/>
        <s v="CONTRIBUIÇÕES"/>
        <s v="CONTRIBUIÇÃO PARA O CUSTEIO DO SERVIÇO DE ILUMINAÇÃO PÚBLICA"/>
        <s v="Contribuição para o Custeio do Serviço de Iluminação Pública - Territorial"/>
        <s v="Contribuição para o Custeio do Serviço de Iluminação Pública - Predial"/>
        <s v="RECEITA PATRIMONIAL"/>
        <s v="EXPLORAÇÃO DO PATRIMÔNIO IMOBILIÁRIO DO ESTADO"/>
        <s v="ALUGUÉIS, ARRENDAMENTOS, FOROS, LAUDÊMIOS, TARIFAS DE OCUPAÇÃO"/>
        <s v="ALUGUÉIS E ARRENDAMENTOS"/>
        <s v="Aluguéis de Imóveis Próprios Públicos"/>
        <s v="FOROS, LAUDÊMIOS E TARIFAS DE OCUPAÇÃO"/>
        <s v="Foros, Laudêmios e Tarifas de Ocupação - Principal"/>
        <s v="CONCESSÃO, PERMISSÃO, AUTORIZAÇÃO OU CESSÃO DO DIREITO DE USO DE BENS IMÓVEIS PÚBLICOS"/>
        <s v="Receita com Utilização do Centro da Juventude Fuad Cury"/>
        <s v="Concessão Onerosa - Arena Esportiva Farma Conde"/>
        <s v="VALORES MOBILIÁRIOS"/>
        <s v="JUROS E CORREÇÕES MONETÁRIAS"/>
        <s v="REMUNERAÇÃO DE DEPÓSITOS BANCÁRIOS"/>
        <s v="Juros Banc. Op. Financeiras - Fundeb"/>
        <s v="Juros Banc. Op. Financeiras - Fundo Municipal de Saúde - FMS"/>
        <s v="Juros Banc. Op. Financeiras - SUS Gestão Plena"/>
        <s v="Juros Banc. Op. Financeiras - AIDS/DST"/>
        <s v="Juros Banc. Op. Financeiras - SUS Municipalização"/>
        <s v="Juros Banc. Op. Financeiras - Fundo Nacional de Saúde - FNS"/>
        <s v="Juros Banc. Op. Financeiras - Secretaria Municipal de Educação - SME"/>
        <s v="Juros Banc. Op. Financeiras - Salário Educação"/>
        <s v="Juros Banc. Op. Financeiras - Programa Nacional de Alimentação Escolar - PNAE/FNDE"/>
        <s v="Juros Banc. Op. Financeiras - Contribuição de Intervenção no Domínio Econômico - CIDE"/>
        <s v="Juros Banc. Op. Financeiras - Fundo Nacional de Assistência Social - FNAS"/>
        <s v="Juros Banc. Op. Financeiras - Contribuição para o Custeio do Serviço de Iluminação Pública"/>
        <s v="Juros Banc. Op. Financeiras - Multas de Trânsito"/>
        <s v="Juros Banc. Op. Financeiras - Zona Azul e Outros"/>
        <s v="Juros Banc. Op. Financeiras - Fundo de Apoio ao Desporto Joseense - FADEJ"/>
        <s v="Juros Banc. Op. Financeiras - Convênios Fundo Nacional de Desenvolvimento da Educação - FNDE"/>
        <s v="Juros Banc. Op. Financeiras - Programa Minha Casa Minha Vida"/>
        <s v="Juros Banc. Op. Financeiras - Fundo Estadual de Recursos Hídricos - FEHIDRO"/>
        <s v="Juros Banc. Op. Financeiras - Secretaria de Habitação"/>
        <s v="Juros Banc. Op. Financeiras - Convênio Fundicad - Educação"/>
        <s v="Juros Banc. Op. Financeiras - Convênios Estaduais - Banco do Povo Paulista"/>
        <s v="Juros Banc. Op. Financeiras - Fundo Estadual de Assistência Social - FEAS - Proteção Social Básica, Especial de Média e Alta Complexidade"/>
        <s v="Juros Banc. Op. Financeiras - Royalties"/>
        <s v="Juros Banc. Op. Financeiras - Conv. Agevap - Assoc. Pró-Gestão das Águas da Bacia Hidrográfica do Rio Paraíba do Sul - Programa de Pagto Por Serv. Ambientais - PSA"/>
        <s v="Juros Banc. Op. Financeiras - Fundo Social de Solidariedade"/>
        <s v="Juros Banc. Op. Financeiras - Fundação de Proteção e Defesa do Consumidor - Procon"/>
        <s v="Juros Banc. Op. Financeiras - Fundo Municipal de Conservação Ambiental - Fumcam"/>
        <s v="Juros Banc. Op. Financeiras - Fundo Municipal de Serviços Ecossistêmicos - FMSE"/>
        <s v="Juros Banc. Op. Financeiras - Fundo Municipal de Habitação - FMH"/>
        <s v="Juros Banc. Op. Financeiras - Brasil Carinhoso - Manutenção de Novas Turmas"/>
        <s v="Juros Banc. Op. Financeiras - Programa Nacional de Apoio ao Transporte Escolar - PNATE"/>
        <s v="Juros Banc. Op. Financeiras - Programa Dinheiro Direto na Escola - PDDE"/>
        <s v="Juros Banc. Op. Financeiras - Fundo Social de Solidariedade do Estado de São Paulo - Fussesp - Aluguel Social"/>
        <s v="Juros Banc. Op. Financeiras - Fundo Municipal de Turismo - Fumtur"/>
        <s v="Juros Banc. Op. Financeiras - Fundo Nacional de Desenvolvimento da Educação - FNDE - Manutenção Educação Infantil - Novos Estabelecimentos"/>
        <s v="Juros Banc. Op. Financeiras - Fundo Municipal de Transporte - Serviço de Transporte Privado"/>
        <s v="Juros Banc. Op. Financeiras - Fundo Municipal do Idoso - Fumid"/>
        <s v="Juros Banc. Op. Financeiras - Termo de Compromisso MRV - Campo da Mata e Flores/Construção Escola Jardim Mesquita"/>
        <s v="Juros Banc. Op. Financeiras - Modernização da Iluminação Pública"/>
        <s v="Juros Banc. Op. Financeiras - Recursos Próprios"/>
        <s v="Juros Banc. Op. Financeiras - SABESP"/>
        <s v="Juros Banc. Op. Financeiras - Depósitos Judiciais"/>
        <s v="Juros Banc. Op. Financeiras - ABIM"/>
        <s v="Juros Banc. Op. Financeiras - SUS Custeio de Ação e Serviços Públicos de Saúde"/>
        <s v="Juros Banc. Op. Financeiras - Fundo Municipal de Transporte - Serviço de Compartilhamento de Bicicletas e Patinetes"/>
        <s v="Juros Banc. Op. Financeiras - Convênio Agência Nacional de Águas - Revitalização da Bacia Hidrográfica do Rio do Peixe no Distrito de São Francisco Xavier"/>
        <s v="Juros Banc. Op. Financeiras - Multas por Auto de Infração - Procon"/>
        <s v="Juros Banc. Op. Financeiras - Convênio de Instituições Privadas de Ensino na Área de Saúde - Contrapartida"/>
        <s v="Juros Banc. Op. Financeiras - Fundo Municipal de Desenvolvimento Urbano - FMDU"/>
        <s v="Juros Banc. Op. Financeiras - Termo de Compromisso MRV - Estrada Municipal do Bom Retiro"/>
        <s v="Juros Banc. Op. Financeiras - Doação Causa Animal - IPTU"/>
        <s v="Juros Banc. Op. Financeiras - Convênio Estadual - Aquisição de medicamentos para dispensação na atenção básica"/>
        <s v="Juros Banc. Op. Financeiras - FMS - Fundo Municipal de Saúde - Tratamento e Diagnóstico de Câncer"/>
        <s v="Juros Banc. Op. Financeiras - Atividade Complementar Guarda Civil Municipal"/>
        <s v="Juros Banc. Op. Financeiras - Compensação Financeira Recursos Minerais - CFEM"/>
        <s v="Juros Banc. Op. Financeiras - Emenda SIGTV Unidade Vicentina"/>
        <s v="Juros Banc. Op. Financeiras - Cessão Onerosa do Bônus de Assinatura do Pré-Sal"/>
        <s v="Juros Banc. Op. Financeiras - Repasse TJ-SP - Combate ao Coronavírus"/>
        <s v="Juros Banc. Op. Financeiras - Termo de Compromisso Ambiental REVAP Banhado"/>
        <s v="Juros Banc. Op. Financeiras - Termo de Compromisso Ambiental REVAP Pq Augusto Ruschi"/>
        <s v="Juros Banc. Op. Financeiras - Termo de Compromisso Ambiental REVAP Plano de Trabalho Banhado"/>
        <s v="Juros Banc. Op. Financeiras - Acordo MPSP-PMSJC - Combate ao Covid-19"/>
        <s v="Juros Banc. Op. Financeiras - FNAS - Recurso para Combate ao Coronavírus"/>
        <s v="Juros Banc. Op. Financeiras - Emenda parlamentar - Obras de Infraestrutura Viária Arena Municipal de Esportes"/>
        <s v="Juros Banc. Op. Financeiras - Emenda Parlamentar - Proteção ao Cidadão"/>
        <s v="Juros Banc. Op. Financeiras - Polo Gerador de Trafégo - Fundo Municipal de Transporte"/>
        <s v="Juros Banc. Op. Financeiras - Repasse MPT - Compra de EPI's - Combate ao Coronavírus"/>
        <s v="Juros Banc. Op. Financeiras - Outorga Onerosa - Zona Azul"/>
        <s v="Juros Banc. Op. Financeiras - Repasse MPT - Combate ao Covid-19"/>
        <s v="Juros Banc. Op. Financeiras - Convênio Estadual Implantação de Academia ao Ar Livre"/>
        <s v="Juros Banc. Op. Financeiras - COAPES - Contrato Organizativo de Ação Pública Ensino - Saúde"/>
        <s v="Juros Banc. Op. Financeiras - Operação Urbana Consorciada do Bairro Urbanova"/>
        <s v="Juros Banc. Op. Financeiras - Linha Verde - Convênio com Estado de São Paulo/SDR"/>
        <s v="Juros Banc. Op. Financeiras - Convênio Secretaria de Desenvolvimento Regional/SDR - Infraestrutura Urbana"/>
        <s v="Juros Banc. Op. Financeiras - Convênio Ministério da Ciência, Tecnologia, Inovação e Comunicações - Obras de Melhoria e Adequação Pq Tecnológico - Via Emenda Parlamentar"/>
        <s v="Juros Banc. Op. Financeiras - Fundo Municipal dos Direitos da Criança e do Adolescente - FUMDICAD"/>
        <s v="Juros Banc. Op. Financeiras - Convênio Estadual Revitalização e Modern. Pista de Skate do Vista Verde"/>
        <s v="Juros Banc. Op. Financeiras - FNAS - Emenda Parlamentar"/>
        <s v="Juros Banc. Op. Financeiras - Convênio Ministério da Cidadania - Implantação do Projeto Skate na Cidade"/>
        <s v="Juros Banc. Op. Financeiras - Emenda Parlamentar Estadual - Convênio SSP-SP - Secretaria de Proteção ao Cidadão"/>
        <s v="Juros Banc. Op. Financeiras - Repasse MPT - Aquisição de Tomógrafo"/>
        <s v="Juros Banc. Op. Financeiras - FEAS - Abrigo Institucional e Casa de Passagem"/>
        <s v="Juros Banc. Op. Financeiras - Convênio Ministério da Cidadania - Implantação de Núcleo de Alto Rendimento da Modalidade Rugby"/>
        <s v="Juros Banc. Op. Financeiras - Outorga Aeroporto Professor Urbano Stumpf"/>
        <s v="Juros Banc. Op. Financeiras - Ministério da Cidadania IGD - Programa Auxílio Brasil"/>
        <s v="Juros Banc. Op. Financeiras - Concessão Onerosa - Arena Esportiva Farma Conde"/>
        <s v="Juros Banc. Op. Financeiras - Obras de Revitalização e Modernização do Centro Esportivo Mário Weiss - Emenda Parlamentar"/>
        <s v="Juros Banc. Op. Financeiras - Recurso Estadual - Programa Cad Único"/>
        <s v="Juros Banc. Op. Financeiras - Convênio Secretaria de Educação do Estado - Programa de Transporte de Alunos da Rede Estadual de Ensino"/>
        <s v="Juros Banc. Op. Financeiras - Programa Prospera Família"/>
        <s v="Juros Banc. Op. Financeiras - Emenda Parlamentar – Associação Virgem de Guadalupe"/>
        <s v="Juros Banc. Op. Financeiras - Convênio SDE-SP – Formação de Professores e Gestores do CITE e CEDEMP"/>
        <s v="Juros Banc. Op. Financeiras - Convênio Estadual - Cidadania no Campo - Município Agro"/>
        <s v="Juros Banc. Op. Financeiras - Emenda Parlamentar - Investimentos Diversos"/>
        <s v="Juros Banc. Op. Financeiras - Convênio CDHU - Programa Morar Bem Viver Melhor"/>
        <s v="Juros Banc. Op. Financeiras - Convênio Secretaria de Esportes do Estado de São Paulo – Realização de Projeto Esportivo"/>
        <s v="Juros Banc. Op. Financeiras - Cobertura Ginásio Tânia Maria de Carvalho"/>
        <s v="Juros Banc. Op. Financeiras - Assistência Financeira Transporte Coletivo - Art. 5º, inciso IV - EC nº 123/2022"/>
        <s v="Juros Banc. Op. Financeiras - Compensação Ambiental - Sistema Viário Via Cambuí "/>
        <s v="DIVIDENDOS"/>
        <s v="Dividendos - Principal"/>
        <s v="TRANSFERÊNCIAS CORRENTES"/>
        <s v="TRANSFERÊNCIAS DA UNIÃO E DE SUAS ENTIDADES"/>
        <s v="TRANSFERÊNCIAS DECORRENTES DE PARTICIPAÇÃO NA RECEITA DA UNIÃO"/>
        <s v="COTA-PARTE DO FUNDO DE PARTICIPAÇÃO DOS MUNICÍPIOS - FPM"/>
        <s v="COTA-PARTE DO FUNDO DE PARTICIPAÇÃO DOS MUNICÍPIOS - COTA MENSAL"/>
        <s v="Cota-Parte do Fundo de Participação dos Municípios - Cota Mensal - Principal"/>
        <s v="COTA-PARTE DO FUNDO DE PARTICIPAÇÃO DO MUNICÍPIOS – COTAS EXTRAORDINÁRIAS"/>
        <s v="Cota-Parte do Fundo de Participação do Municípios - 1% Cota entregue no mês de dezembro - EC 55/2007"/>
        <s v="Cota-Parte do Fundo de Participação dos Municípios - 1% Cota entregue no mês de julho - EC 84/2014"/>
        <s v="Cota-Parte do Fundo de Participação do Municípios – 1% Cota entregue no mês de setembro - EC 112/2021"/>
        <s v="COTA-PARTE DO IMPOSTO SOBRE A PROPRIEDADE TERRITORIAL RURAL"/>
        <s v="Cota-Parte do Imposto Sobre a Propriedade Territorial Rural - ITR"/>
        <s v="TRANSFERÊNCIAS DAS COMPENSAÇÕES FINANCEIRAS PELA EXPLORAÇÃO DE RECURSOS NATURAIS"/>
        <s v="COTA-PARTE DA COMPENSAÇÃO FINANCEIRA PELA EXPLORAÇÃO DE RECURSOS HÍDRICOS"/>
        <s v="Cota-parte da Compensação Financeira de Recursos Hídricos - CFH"/>
        <s v="COTA-PARTE DA COMPENSAÇÃO FINANCEIRA PELA EXPLORAÇÃO DE RECURSOS MINERAIS - CFEM"/>
        <s v="Cota-parte da Compensação Financeira de Recursos Minerais - CFEM"/>
        <s v="COTA-PARTE DA COMPENSAÇÃO FINANCEIRA PELA PRODUÇÃO DE PETRÓLEO "/>
        <s v="COTA-PARTE DA COMPENSAÇÃO FINANCEIRA PELA PRODUÇÃO DE PETRÓLEO – LEI Nº 7.990/89"/>
        <s v="Cota-parte Royalties - Compensação Financeira pela Produção de Petróleo - Lei nº 7.990/89"/>
        <s v="COTA-PARTE PELO EXCEDENTE DA PRODUÇÃO DO PETRÓLEO – LEI Nº 9.478/97, ARTIGO 49, I E II"/>
        <s v="Cota-Parte Royalties pelo Excedente da Produção do Petróleo - Lei nº 9.478/97, Artigo 49, I e II - Principal"/>
        <s v="COTA-PARTE DO FUNDO ESPECIAL DO PETRÓLEO – FEP"/>
        <s v="Cota-Parte do Fundo Especial do Petróleo – FEP - Principal"/>
        <s v="TRANSFERÊNCIAS DE RECURSOS DO SISTEMA ÚNICO DE SAÚDE – SUS "/>
        <s v="TRANSFERÊNCIAS DE RECURSOS DO SISTEMA ÚNICO DE SAÚDE – SUS – REPASSES FUNDO A FUNDO - BLOCO DE MANUTENÇÃO DAS AÇÕES E SERVIÇOS PÚBLICOS DE SAÚDE"/>
        <s v="TRANSFERÊNCIAS DE RECURSOS DO BLOCO DE MANUTENÇÃO DAS AÇÕES E SERVIÇOS PÚBLICOS DE SAÚDE – ATENÇÃO PRIMÁRIA"/>
        <s v="SUS - Piso Atenção Básica Ampliada - PABA"/>
        <s v="SUS - Atenção Básica - Agente Comunitário de Saúde"/>
        <s v="TRANSFERÊNCIAS DE RECURSOS DO BLOCO DE MANUTENÇÃO DAS AÇÕES E SERVIÇOS PÚBLICOS DE SAÚDE – ATENÇÃO ESPECIALIZADA"/>
        <s v="SUS - Gestão Plena - Sistema de Informações Hospitalares - SIH"/>
        <s v="TRANSFERÊNCIAS DE RECURSOS DO BLOCO DE MANUTENÇÃO DAS AÇÕES E SERVIÇOS PÚBLICOS DE SAÚDE – VIGILÂNCIA EM SAÚDE"/>
        <s v="SUS - Vigilância em Saúde - Teto Financeiro da Vigilância Sanitária - TFVS"/>
        <s v="SUS - Vigilância em Saúde - AIDS"/>
        <s v="SUS - Vigilância em Saúde - Agentes de Combate às Endemias"/>
        <s v="TRANSFERÊNCIAS DE RECURSOS DO BLOCO DE MANUTENÇÃO DAS AÇÕES E SERVIÇOS PÚBLICOS DE SAÚDE – ASSISTÊNCIA FARMACÊUTICA"/>
        <s v="SUS - Assistência Farmacêutica - Aquisição de Medicamentos"/>
        <s v="TRANSFERÊNCIAS DE RECURSOS DO FUNDO NACIONAL DO DESENVOLVIMENTO DA EDUCAÇÃO – FNDE¿ "/>
        <s v="TRANSFERÊNCIAS DO SALÁRIO-EDUCAÇÃO"/>
        <s v="Transferência do Salário Educação - Principal"/>
        <s v="TRANSFERÊNCIAS REFERENTES AO PROGRAMA NACIONAL DE ALIMENTAÇÃO ESCOLAR – PNAE"/>
        <s v="Programa Nacional de Alimentação Escolar - PNAE - Pré-Escola"/>
        <s v="Programa Nacional de Alimentação Escolar - PNAE - Atendimento Educacional Especializado - AEE"/>
        <s v="Programa Nacional de Alimentação Escolar - PNAE - Creche"/>
        <s v="Programa Nacional de Alimentação Escolar - PNAE - Ensino Fundamental"/>
        <s v="Programa Nacional de Alimentação Escolar - PNAE - Educação de Jovens e Adultos - EJA"/>
        <s v="Programa Nacional de Alimentação Escolar - PNAE - Ensino Médio"/>
        <s v="TRANSFERÊNCIAS REFERENTES AO PROGRAMA NACIONAL DE APOIO AO TRANSPORTE DO ESCOLAR – PNATE"/>
        <s v="Programa Nacional de Apoio ao Transporte Escolar - PNATE"/>
        <s v="TRANSFERÊNCIAS DE RECURSOS DO FUNDO NACIONAL DE ASSISTÊNCIA SOCIAL – FNAS "/>
        <s v="TRANSFERÊNCIAS DE RECURSOS DO FUNDO NACIONAL DE ASSISTÊNCIA SOCIAL – FNAS"/>
        <s v="Transferências de Recursos do Fundo Nacional de Assistência Social - FNAS"/>
        <s v="Programa Criança Feliz - Fundo Nacional de Assistência Social - FNAS"/>
        <s v="Ministério da Cidadania IGD - Programa Auxílio Brasil"/>
        <s v="TRANSFERÊNCIAS DE CONVÊNIOS DA UNIÃO E DE SUAS ENTIDADES"/>
        <s v="OUTRAS TRANSFERÊNCIAS DE RECURSOS DA UNIÃO E DE SUAS ENTIDADES"/>
        <s v="Programa Minha Casa Minha Vida"/>
        <s v="FNDE - Plano de Ações Articuladas - Reforma EMEF Silvana Maria Ribeiro de Almeida"/>
        <s v="TRANSFERÊNCIA OBRIGATÓRIA DECORRENTE DA LEI COMPLEMENTAR Nº 176/2020"/>
        <s v="Compensação da União - LC 176/2020"/>
        <s v="TRANSFERÊNCIAS DOS ESTADOS E DO DISTRITO FEDERAL E DE SUAS ENTIDADES"/>
        <s v="PARTICIPAÇÃO NA RECEITA DOS ESTADOS E DISTRITO FEDERAL"/>
        <s v="COTA-PARTE DO ICMS"/>
        <s v="COTA-PARTE DO IPVA"/>
        <s v="COTA-PARTE DO IPI - MUNICÍPIOS"/>
        <s v="Cota-Parte do IPI - Exportação - Lei 61/1989"/>
        <s v="COTA-PARTE DA CONTRIBUIÇÃO DE INTERVENÇÃO NO DOMÍNIO ECONÔMICO"/>
        <s v="TRANSFERÊNCIAS DE CONVÊNIOS DOS ESTADOS E DF E DE SUAS ENTIDADES"/>
        <s v="TRANSFERÊNCIAS DE CONVÊNIOS DOS ESTADOS E DF PARA O SISTEMA ÚNICO DE SAÚDE – SUS"/>
        <s v="SUS - Municipalização"/>
        <s v="TRANSFERÊNCIAS DE CONVÊNIOS DOS ESTADOS DESTINADAS A PROGRAMAS DE EDUCAÇÃO"/>
        <s v="Convênio Secretaria de Educação do Estado - Programa de Transporte de Alunos da Rede Estadual de Ensino"/>
        <s v="OUTRAS TRANSFERÊNCIAS DE CONVÊNIOS DOS ESTADOS E DF E DE SUAS ENTIDADES"/>
        <s v="Fundo Estadual de Recursos Hídricos - FEHIDRO"/>
        <s v="Convênio com a Fundação de Proteção e Defesa do Consumidor - PROCON"/>
        <s v="OUTRAS TRANSFERÊNCIAS DOS ESTADOS E DISTRITO FEDERAL"/>
        <s v="TRANSFERÊNCIAS DE ESTADOS DESTINADAS À ASSISTÊNCIA SOCIAL"/>
        <s v="Fundo Estadual de Assistência Social - FEAS - Proteção Social Básica, Especial de Média e Alta Complexidade"/>
        <s v="TRANSFERÊNCIAS DE INSTITUIÇÕES PRIVADAS"/>
        <s v="TRANSFERÊNCIAS DE CONVÊNIOS DE INSTITUIÇÕES PRIVADAS PARA PROGRAMAS DE SAÚDE"/>
        <s v="Convênio de Instituições Privadas de Ensino na Área de Saúde - Contrapartida"/>
        <s v="TRANSFERÊNCIAS DE OUTRAS INSTITUIÇÕES PÚBLICAS"/>
        <s v="TRANSFERÊNCIAS DE RECURSOS DO FUNDO DE MANUTENÇÃO E DESENVOLVIMENTO DA EDUCAÇÃO BÁSICA E DE VALORIZAÇÃO DOS PROFISSIONAIS DA EDUCAÇÃO - FUNDEB"/>
        <s v="TRANSFERÊNCIAS DE RECURSOS DO FUNDO DE MANUTENÇÃO E DESENVOLVIMENTO DA EDUCAÇÃO BÁSICA E DE VALORIZAÇÃO DOS PROFISSIONAIS DA EDUCAÇÃO – FUNDEB"/>
        <s v="FUNDEB - FPM"/>
        <s v="FUNDEB - ITR"/>
        <s v="FUNDEB - ICMS"/>
        <s v="FUNDEB - IPI"/>
        <s v="FUNDEB - IPVA"/>
        <s v="FUNDEB - ITCMD"/>
        <s v="FUNDEB - FPE"/>
        <s v="FUNDEB - VAAR - Valor Aluno Ano por Resultado"/>
        <s v="OUTRAS RECEITAS CORRENTES"/>
        <s v="MULTAS ADMINISTRATIVAS, CONTRATUAIS E JUDICIAIS"/>
        <s v="MULTAS PREVISTAS EM LEGISLAÇÃO ESPECÍFICA"/>
        <s v="MULTAS PREVISTAS EM LEGISLAÇÃO ESPECÍFICA -  PRINCIPAL"/>
        <s v="Multas por Auto de Infração - Recursos Próprios"/>
        <s v="Multas por Auto de Infração - Fundo Municipal de Saúde - FMS"/>
        <s v="Multas por Auto de Infração - Vigilância Sanitária"/>
        <s v="Multas por Auto de Infração - Combate à Dengue"/>
        <s v="Multas por Auto de Infração - Procon"/>
        <s v="MULTAS PREVISTAS EM LEGISLAÇÃO ESPECÍFICA -  MULTAS E JUROS"/>
        <s v="Juros de Mora - Procon"/>
        <s v="MULTAS PREVISTAS EM LEGISLAÇÃO ESPECÍFICA -  DÍVIDA ATIVA"/>
        <s v="Dívida Ativa Não Tributária - Multas por Auto de Infração - Recursos Próprios"/>
        <s v="Dívida Ativa - Multa por Auto de Infração - Procon"/>
        <s v="MULTAS PREVISTAS EM LEGISLAÇÃO ESPECÍFICA - DÍVIDA ATIVA - MULTAS E JUROS"/>
        <s v="Dívida Ativa - Juros de Mora, Multa e Atualização Monetária - Procon"/>
        <s v="MULTAS PREVISTAS NO CÓDIGO DE TRÂNSITO BRASILEIRO - CTB"/>
        <s v="Multas Previstas na Legislação de Trânsito - Normal"/>
        <s v="Multas Previstas na Legislação de Trânsito - Funset"/>
        <s v="Div. Ativa Não Trib. - Multas Prev. Legislação de Trânsito - Normal"/>
        <s v="Div. Ativa Não Trib. - Multas Prev. Legislação de Trânsito - Parcelamento"/>
        <s v="INDENIZAÇÕES, RESTITUIÇÕES E RESSARCIMENTOS"/>
        <s v="INDENIZAÇÕES"/>
        <s v="OUTRAS INDENIZAÇÕES"/>
        <s v="RESTITUIÇÕES"/>
        <s v="RESTITUIÇÃO DE DESPESAS DE EXERCÍCIOS ANTERIORES"/>
        <s v="RESTITUIÇÃO DE DESPESAS PRIMÁRIAS DE EXERCÍCIOS ANTERIORES"/>
        <s v="DEMAIS RECEITAS CORRENTES"/>
        <s v="OUTRAS RECEITAS"/>
        <s v="OUTRAS RECEITAS NÃO ARRECADADAS E NÃO PROJETADAS PELA RFB - PRIMÁRIAS  "/>
        <s v="Fundo Municipal de Assistência Social - FMAS"/>
        <s v="Fundo de Apoio ao Desporto Joseense - FADEJ"/>
        <s v="Fundo Municipal de Turismo - FUMTUR"/>
        <s v="Diversas Rendas - Recursos Próprios"/>
        <s v="Diversas Rendas - Fundo Municipal de Saúde - FMS"/>
        <s v="Zona Azul e outras"/>
        <s v="Fundo Social de Solidariedade"/>
        <s v="Fundo Municipal Antidrogas"/>
        <s v="Contrato Sabesp - 5% da Rec. Líquida"/>
        <s v="Fundo Municipal de Habitação - FMH"/>
        <s v="Fundo Municipal de Preservação do Patr. Histórico, Artístico, Paisagístico e Cultural - FUMPHAC"/>
        <s v="Fundo Municipal do Idoso"/>
        <s v="Fundo Municipal de Serviços Ecossistêmicos"/>
        <s v="Fundo Municipal de Conservação Ambiental - FUMCAM"/>
        <s v="Fundo Municipal de Transportes - Serviço de Transporte Privado"/>
        <s v="Fundo Municipal de Transportes -  Serviço de Compartilhamento de Bicicletas e Patinetes"/>
        <s v="Doação Causa Animal - IPTU"/>
        <s v="Fundo Municipal de Desenvolvimento Urbano - FMDU"/>
        <s v="Atividade Complementar Guarda Civil Municipal"/>
        <s v="Fundo Municipal dos Direitos da Criança e do Adolescente - FUMDICAD"/>
        <s v="Divida Ativa Não Tributária - Outras"/>
        <s v="Multas e Juros de Mora da Dívida Ativa de Outros Tributos"/>
        <s v="RECEITAS DE CAPITAL"/>
        <s v="TRANSFERÊNCIAS DE CAPITAL"/>
        <s v="TRANSFERÊNCIAS DE CONVÊNIOS DOS ESTADOS E DF E DE SUAS ENTIDADES "/>
        <s v="Convênio Departamento de Estradas e Rodagem - DER - Via Jaguari"/>
        <s v="OUTRAS TRANSFERÊNCIAS DE INSTITUIÇÕES PRIVADAS"/>
        <s v="Convênio de Instituições Privadas de Ensino na Área de Saúde - Contrapartida - Investimentos"/>
        <s v="Polo Gerador de Trafégo - Fundo Municipal de Transporte"/>
        <s v="COAPES - Contrato Organizativo de Ação Pública Ensino - Saúde"/>
        <s v="Dedução da Receita Corrente"/>
        <s v="Dedução"/>
        <s v="Dedução da Receita"/>
        <s v="Dedução de Receita para Formação do Fundeb - União"/>
        <s v="Dedução de Receita para Formação do Fundeb - FPM"/>
        <s v="Dedução de Receita para Formação Do Fundeb - ITR"/>
        <s v="Dedução para Formação do Fundeb - Estadual"/>
        <s v="Dedução de Receita para Formação do Fundeb - ICMS"/>
        <s v="Dedução de Receita para Formação do Fundeb - IPVA"/>
        <s v="Dedução de Receita para Formação do Fundeb - IPI"/>
      </sharedItems>
    </cacheField>
    <cacheField name="Receita Mês (R$)" numFmtId="0">
      <sharedItems containsSemiMixedTypes="0" containsString="0" containsNumber="1" minValue="-26526717.260000002" maxValue="439567795.35000002"/>
    </cacheField>
    <cacheField name="Receita Ano (R$)" numFmtId="0">
      <sharedItems containsSemiMixedTypes="0" containsString="0" containsNumber="1" minValue="-68733989.629999995" maxValue="845442567.95000005"/>
    </cacheField>
    <cacheField name="Receita Orçada (R$)" numFmtId="0">
      <sharedItems containsSemiMixedTypes="0" containsString="0" containsNumber="1" containsInteger="1" minValue="-334627000" maxValue="382671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">
  <r>
    <n v="2023"/>
    <n v="2"/>
    <n v="10000000000"/>
    <m/>
    <m/>
    <x v="0"/>
    <n v="439567795.35000002"/>
    <n v="845442567.95000005"/>
    <n v="3826715000"/>
  </r>
  <r>
    <n v="2023"/>
    <n v="2"/>
    <n v="11000000000"/>
    <m/>
    <m/>
    <x v="1"/>
    <n v="223040529.15000001"/>
    <n v="320792644.68000001"/>
    <n v="1166694000"/>
  </r>
  <r>
    <n v="2023"/>
    <n v="2"/>
    <n v="11100000000"/>
    <m/>
    <m/>
    <x v="2"/>
    <n v="211200971.33000001"/>
    <n v="306148535.18000001"/>
    <n v="1126521000"/>
  </r>
  <r>
    <n v="2023"/>
    <n v="2"/>
    <n v="11120000000"/>
    <m/>
    <m/>
    <x v="3"/>
    <n v="160836002.68000001"/>
    <n v="188491874.78"/>
    <n v="479469000"/>
  </r>
  <r>
    <n v="2023"/>
    <n v="2"/>
    <n v="11125000000"/>
    <m/>
    <m/>
    <x v="4"/>
    <n v="156100633.22999999"/>
    <n v="177696035.46000001"/>
    <n v="387388000"/>
  </r>
  <r>
    <n v="2023"/>
    <n v="2"/>
    <n v="11125001001"/>
    <n v="1"/>
    <n v="19"/>
    <x v="5"/>
    <n v="108761963.06"/>
    <n v="121068999.31"/>
    <n v="238207000"/>
  </r>
  <r>
    <n v="2023"/>
    <n v="2"/>
    <n v="11125001002"/>
    <n v="1"/>
    <n v="27"/>
    <x v="6"/>
    <n v="42354621.420000002"/>
    <n v="45260524.340000004"/>
    <n v="86656000"/>
  </r>
  <r>
    <n v="2023"/>
    <n v="2"/>
    <n v="11125002001"/>
    <n v="1"/>
    <n v="1620"/>
    <x v="7"/>
    <n v="970417.29"/>
    <n v="1020064.04"/>
    <n v="1502000"/>
  </r>
  <r>
    <n v="2023"/>
    <n v="2"/>
    <n v="11125003001"/>
    <n v="1"/>
    <n v="2410"/>
    <x v="8"/>
    <n v="3316416.65"/>
    <n v="8444953.7799999993"/>
    <n v="47957000"/>
  </r>
  <r>
    <n v="2023"/>
    <n v="2"/>
    <n v="11125004001"/>
    <n v="1"/>
    <n v="1670"/>
    <x v="9"/>
    <n v="697214.81"/>
    <n v="1901493.99"/>
    <n v="13066000"/>
  </r>
  <r>
    <n v="2023"/>
    <n v="2"/>
    <n v="11125300000"/>
    <m/>
    <m/>
    <x v="10"/>
    <n v="4735369.45"/>
    <n v="10795839.32"/>
    <n v="92081000"/>
  </r>
  <r>
    <n v="2023"/>
    <n v="2"/>
    <n v="11125301001"/>
    <n v="1"/>
    <n v="248"/>
    <x v="11"/>
    <n v="4731851.5599999996"/>
    <n v="10788937.109999999"/>
    <n v="91900000"/>
  </r>
  <r>
    <n v="2023"/>
    <n v="2"/>
    <n v="11125302001"/>
    <n v="1"/>
    <n v="1650"/>
    <x v="12"/>
    <n v="3517.89"/>
    <n v="6902.21"/>
    <n v="181000"/>
  </r>
  <r>
    <n v="2023"/>
    <n v="2"/>
    <n v="11130000000"/>
    <m/>
    <m/>
    <x v="13"/>
    <n v="12757063.119999999"/>
    <n v="25958900.199999999"/>
    <n v="170382000"/>
  </r>
  <r>
    <n v="2023"/>
    <n v="2"/>
    <n v="11130300000"/>
    <m/>
    <m/>
    <x v="14"/>
    <n v="12757063.119999999"/>
    <n v="25958900.199999999"/>
    <n v="170382000"/>
  </r>
  <r>
    <n v="2023"/>
    <n v="2"/>
    <n v="11130310000"/>
    <m/>
    <m/>
    <x v="15"/>
    <n v="12757063.119999999"/>
    <n v="25958900.199999999"/>
    <n v="170382000"/>
  </r>
  <r>
    <n v="2023"/>
    <n v="2"/>
    <n v="11130311001"/>
    <n v="1"/>
    <n v="1141"/>
    <x v="16"/>
    <n v="7520259.6900000004"/>
    <n v="15530145.59"/>
    <n v="170382000"/>
  </r>
  <r>
    <n v="2023"/>
    <n v="2"/>
    <n v="11130311002"/>
    <n v="1"/>
    <n v="2016"/>
    <x v="17"/>
    <n v="5236803.43"/>
    <n v="10428754.609999999"/>
    <n v="0"/>
  </r>
  <r>
    <n v="2023"/>
    <n v="2"/>
    <n v="11140000000"/>
    <m/>
    <m/>
    <x v="18"/>
    <n v="37607905.530000001"/>
    <n v="91697760.200000003"/>
    <n v="476670000"/>
  </r>
  <r>
    <n v="2023"/>
    <n v="2"/>
    <n v="11145100000"/>
    <m/>
    <m/>
    <x v="19"/>
    <n v="37607905.530000001"/>
    <n v="91697760.200000003"/>
    <n v="476670000"/>
  </r>
  <r>
    <n v="2023"/>
    <n v="2"/>
    <n v="11145110000"/>
    <m/>
    <m/>
    <x v="20"/>
    <n v="37607905.530000001"/>
    <n v="91697760.200000003"/>
    <n v="476670000"/>
  </r>
  <r>
    <n v="2023"/>
    <n v="2"/>
    <n v="11145111001"/>
    <n v="1"/>
    <n v="35"/>
    <x v="21"/>
    <n v="27572799.030000001"/>
    <n v="69953956.400000006"/>
    <n v="346791000"/>
  </r>
  <r>
    <n v="2023"/>
    <n v="2"/>
    <n v="11145111002"/>
    <n v="1"/>
    <n v="221"/>
    <x v="22"/>
    <n v="783200.33"/>
    <n v="1326298.01"/>
    <n v="10748000"/>
  </r>
  <r>
    <n v="2023"/>
    <n v="2"/>
    <n v="11145111003"/>
    <n v="1"/>
    <n v="222"/>
    <x v="23"/>
    <n v="7575648.1600000001"/>
    <n v="16849222.190000001"/>
    <n v="95459000"/>
  </r>
  <r>
    <n v="2023"/>
    <n v="2"/>
    <n v="11145111004"/>
    <n v="1"/>
    <n v="1011"/>
    <x v="24"/>
    <n v="145584.47"/>
    <n v="320994.99"/>
    <n v="2315000"/>
  </r>
  <r>
    <n v="2023"/>
    <n v="2"/>
    <n v="11145112001"/>
    <n v="1"/>
    <n v="1630"/>
    <x v="25"/>
    <n v="624.34"/>
    <n v="1633.9"/>
    <n v="20000"/>
  </r>
  <r>
    <n v="2023"/>
    <n v="2"/>
    <n v="11145113001"/>
    <n v="1"/>
    <n v="2445"/>
    <x v="26"/>
    <n v="1175754.05"/>
    <n v="2512103.91"/>
    <n v="16503000"/>
  </r>
  <r>
    <n v="2023"/>
    <n v="2"/>
    <n v="11145114001"/>
    <n v="1"/>
    <n v="1680"/>
    <x v="27"/>
    <n v="354295.15"/>
    <n v="733550.8"/>
    <n v="4834000"/>
  </r>
  <r>
    <n v="2023"/>
    <n v="2"/>
    <n v="11200000000"/>
    <m/>
    <m/>
    <x v="28"/>
    <n v="11839557.82"/>
    <n v="14644109.5"/>
    <n v="40169000"/>
  </r>
  <r>
    <n v="2023"/>
    <n v="2"/>
    <n v="11210000000"/>
    <m/>
    <m/>
    <x v="29"/>
    <n v="129737.97"/>
    <n v="353173.74"/>
    <n v="10023000"/>
  </r>
  <r>
    <n v="2023"/>
    <n v="2"/>
    <n v="11210100000"/>
    <m/>
    <m/>
    <x v="30"/>
    <n v="80648.09"/>
    <n v="261796.73"/>
    <n v="9411000"/>
  </r>
  <r>
    <n v="2023"/>
    <n v="2"/>
    <n v="11210101001"/>
    <n v="1"/>
    <n v="43"/>
    <x v="31"/>
    <n v="14947.91"/>
    <n v="20547.66"/>
    <n v="299000"/>
  </r>
  <r>
    <n v="2023"/>
    <n v="2"/>
    <n v="11210101002"/>
    <n v="1"/>
    <n v="51"/>
    <x v="32"/>
    <n v="7626.76"/>
    <n v="35065.129999999997"/>
    <n v="6969000"/>
  </r>
  <r>
    <n v="2023"/>
    <n v="2"/>
    <n v="11210101003"/>
    <n v="1"/>
    <n v="78"/>
    <x v="33"/>
    <n v="0"/>
    <n v="1108.21"/>
    <n v="30000"/>
  </r>
  <r>
    <n v="2023"/>
    <n v="2"/>
    <n v="11210101004"/>
    <n v="1"/>
    <n v="86"/>
    <x v="34"/>
    <n v="45853.21"/>
    <n v="161116.14000000001"/>
    <n v="1412000"/>
  </r>
  <r>
    <n v="2023"/>
    <n v="2"/>
    <n v="11210101005"/>
    <n v="1"/>
    <n v="94"/>
    <x v="35"/>
    <n v="615.57000000000005"/>
    <n v="2550.2399999999998"/>
    <n v="394000"/>
  </r>
  <r>
    <n v="2023"/>
    <n v="2"/>
    <n v="11210101006"/>
    <n v="1"/>
    <n v="108"/>
    <x v="36"/>
    <n v="7191.53"/>
    <n v="33926.43"/>
    <n v="82000"/>
  </r>
  <r>
    <n v="2023"/>
    <n v="2"/>
    <n v="11210101007"/>
    <n v="1"/>
    <n v="120"/>
    <x v="37"/>
    <n v="2.1800000000000002"/>
    <n v="2.1800000000000002"/>
    <n v="116000"/>
  </r>
  <r>
    <n v="2023"/>
    <n v="2"/>
    <n v="11210101008"/>
    <n v="1"/>
    <n v="350"/>
    <x v="38"/>
    <n v="0"/>
    <n v="1000"/>
    <n v="20000"/>
  </r>
  <r>
    <n v="2023"/>
    <n v="2"/>
    <n v="11210102001"/>
    <n v="1"/>
    <n v="1660"/>
    <x v="39"/>
    <n v="4410.93"/>
    <n v="6480.74"/>
    <n v="89000"/>
  </r>
  <r>
    <n v="2023"/>
    <n v="2"/>
    <n v="11215000000"/>
    <m/>
    <m/>
    <x v="40"/>
    <n v="49089.88"/>
    <n v="91377.01"/>
    <n v="612000"/>
  </r>
  <r>
    <n v="2023"/>
    <n v="2"/>
    <n v="11215001001"/>
    <n v="6"/>
    <n v="330"/>
    <x v="40"/>
    <n v="49089.88"/>
    <n v="91377.01"/>
    <n v="612000"/>
  </r>
  <r>
    <n v="2023"/>
    <n v="2"/>
    <n v="11220000000"/>
    <m/>
    <m/>
    <x v="41"/>
    <n v="11709819.85"/>
    <n v="14290935.76"/>
    <n v="30146000"/>
  </r>
  <r>
    <n v="2023"/>
    <n v="2"/>
    <n v="11220100000"/>
    <m/>
    <m/>
    <x v="41"/>
    <n v="11709819.85"/>
    <n v="14290935.76"/>
    <n v="30146000"/>
  </r>
  <r>
    <n v="2023"/>
    <n v="2"/>
    <n v="11220101001"/>
    <n v="1"/>
    <n v="140"/>
    <x v="42"/>
    <n v="11709701.57"/>
    <n v="14290406.75"/>
    <n v="30109000"/>
  </r>
  <r>
    <n v="2023"/>
    <n v="2"/>
    <n v="11220101002"/>
    <n v="1"/>
    <n v="116"/>
    <x v="43"/>
    <n v="29.58"/>
    <n v="190.59"/>
    <n v="3000"/>
  </r>
  <r>
    <n v="2023"/>
    <n v="2"/>
    <n v="11220101003"/>
    <n v="1"/>
    <n v="175"/>
    <x v="44"/>
    <n v="88.7"/>
    <n v="338.42"/>
    <n v="23000"/>
  </r>
  <r>
    <n v="2023"/>
    <n v="2"/>
    <n v="11220101004"/>
    <n v="6"/>
    <n v="2607"/>
    <x v="45"/>
    <n v="0"/>
    <n v="0"/>
    <n v="11000"/>
  </r>
  <r>
    <n v="2023"/>
    <n v="2"/>
    <n v="11300000000"/>
    <m/>
    <m/>
    <x v="46"/>
    <n v="0"/>
    <n v="0"/>
    <n v="4000"/>
  </r>
  <r>
    <n v="2023"/>
    <n v="2"/>
    <n v="11310000000"/>
    <m/>
    <m/>
    <x v="46"/>
    <n v="0"/>
    <n v="0"/>
    <n v="4000"/>
  </r>
  <r>
    <n v="2023"/>
    <n v="2"/>
    <n v="11315300000"/>
    <m/>
    <m/>
    <x v="47"/>
    <n v="0"/>
    <n v="0"/>
    <n v="4000"/>
  </r>
  <r>
    <n v="2023"/>
    <n v="2"/>
    <n v="11315301001"/>
    <n v="1"/>
    <n v="205"/>
    <x v="48"/>
    <n v="0"/>
    <n v="0"/>
    <n v="3000"/>
  </r>
  <r>
    <n v="2023"/>
    <n v="2"/>
    <n v="11315302001"/>
    <n v="1"/>
    <n v="1640"/>
    <x v="49"/>
    <n v="0"/>
    <n v="0"/>
    <n v="1000"/>
  </r>
  <r>
    <n v="2023"/>
    <n v="2"/>
    <n v="12000000000"/>
    <m/>
    <m/>
    <x v="50"/>
    <n v="3284650.68"/>
    <n v="5862966.1299999999"/>
    <n v="30084000"/>
  </r>
  <r>
    <n v="2023"/>
    <n v="2"/>
    <n v="12400000000"/>
    <m/>
    <m/>
    <x v="51"/>
    <n v="3284650.68"/>
    <n v="5862966.1299999999"/>
    <n v="30084000"/>
  </r>
  <r>
    <n v="2023"/>
    <n v="2"/>
    <n v="12410000000"/>
    <m/>
    <m/>
    <x v="51"/>
    <n v="3284650.68"/>
    <n v="5862966.1299999999"/>
    <n v="30084000"/>
  </r>
  <r>
    <n v="2023"/>
    <n v="2"/>
    <n v="12415000000"/>
    <m/>
    <m/>
    <x v="51"/>
    <n v="3284650.68"/>
    <n v="5862966.1299999999"/>
    <n v="30084000"/>
  </r>
  <r>
    <n v="2023"/>
    <n v="2"/>
    <n v="12415001001"/>
    <n v="3"/>
    <n v="2997"/>
    <x v="52"/>
    <n v="1106633.97"/>
    <n v="1388584.76"/>
    <n v="3317000"/>
  </r>
  <r>
    <n v="2023"/>
    <n v="2"/>
    <n v="12415001002"/>
    <n v="3"/>
    <n v="2964"/>
    <x v="53"/>
    <n v="2178016.71"/>
    <n v="4474381.37"/>
    <n v="26767000"/>
  </r>
  <r>
    <n v="2023"/>
    <n v="2"/>
    <n v="13000000000"/>
    <m/>
    <m/>
    <x v="54"/>
    <n v="5644125.6799999997"/>
    <n v="11983161.390000001"/>
    <n v="49064000"/>
  </r>
  <r>
    <n v="2023"/>
    <n v="2"/>
    <n v="13100000000"/>
    <m/>
    <m/>
    <x v="55"/>
    <n v="271027.57"/>
    <n v="450267.59"/>
    <n v="3022000"/>
  </r>
  <r>
    <n v="2023"/>
    <n v="2"/>
    <n v="13110000000"/>
    <m/>
    <m/>
    <x v="55"/>
    <n v="271027.57"/>
    <n v="450267.59"/>
    <n v="3022000"/>
  </r>
  <r>
    <n v="2023"/>
    <n v="2"/>
    <n v="13110100000"/>
    <m/>
    <m/>
    <x v="56"/>
    <n v="251917.57"/>
    <n v="405334.83"/>
    <n v="2888000"/>
  </r>
  <r>
    <n v="2023"/>
    <n v="2"/>
    <n v="13110110000"/>
    <m/>
    <m/>
    <x v="57"/>
    <n v="19704.740000000002"/>
    <n v="46994.93"/>
    <n v="358000"/>
  </r>
  <r>
    <n v="2023"/>
    <n v="2"/>
    <n v="13110111001"/>
    <n v="1"/>
    <n v="1040"/>
    <x v="58"/>
    <n v="19704.740000000002"/>
    <n v="46994.93"/>
    <n v="358000"/>
  </r>
  <r>
    <n v="2023"/>
    <n v="2"/>
    <n v="13110120000"/>
    <m/>
    <m/>
    <x v="59"/>
    <n v="232212.83"/>
    <n v="358339.9"/>
    <n v="2530000"/>
  </r>
  <r>
    <n v="2023"/>
    <n v="2"/>
    <n v="13110121001"/>
    <n v="1"/>
    <n v="1023"/>
    <x v="60"/>
    <n v="232212.83"/>
    <n v="358339.9"/>
    <n v="2530000"/>
  </r>
  <r>
    <n v="2023"/>
    <n v="2"/>
    <n v="13110200000"/>
    <m/>
    <m/>
    <x v="61"/>
    <n v="19110"/>
    <n v="44932.76"/>
    <n v="134000"/>
  </r>
  <r>
    <n v="2023"/>
    <n v="2"/>
    <n v="13110201001"/>
    <n v="1"/>
    <n v="1057"/>
    <x v="62"/>
    <n v="0"/>
    <n v="3222.76"/>
    <n v="0"/>
  </r>
  <r>
    <n v="2023"/>
    <n v="2"/>
    <n v="13110201004"/>
    <n v="1"/>
    <n v="2165"/>
    <x v="63"/>
    <n v="19110"/>
    <n v="41710"/>
    <n v="134000"/>
  </r>
  <r>
    <n v="2023"/>
    <n v="2"/>
    <n v="13200000000"/>
    <m/>
    <m/>
    <x v="64"/>
    <n v="5373098.1100000003"/>
    <n v="11532893.800000001"/>
    <n v="46042000"/>
  </r>
  <r>
    <n v="2023"/>
    <n v="2"/>
    <n v="13210000000"/>
    <m/>
    <m/>
    <x v="65"/>
    <n v="5373098.1100000003"/>
    <n v="11532893.800000001"/>
    <n v="45943000"/>
  </r>
  <r>
    <n v="2023"/>
    <n v="2"/>
    <n v="13210100000"/>
    <m/>
    <m/>
    <x v="66"/>
    <n v="5373098.1100000003"/>
    <n v="11532893.800000001"/>
    <n v="45943000"/>
  </r>
  <r>
    <n v="2023"/>
    <n v="2"/>
    <n v="13210101001"/>
    <n v="2"/>
    <n v="1912"/>
    <x v="67"/>
    <n v="309401.56"/>
    <n v="709196.32"/>
    <n v="7213000"/>
  </r>
  <r>
    <n v="2023"/>
    <n v="2"/>
    <n v="13210101002"/>
    <n v="1"/>
    <n v="1890"/>
    <x v="68"/>
    <n v="39441.230000000003"/>
    <n v="78073.55"/>
    <n v="102000"/>
  </r>
  <r>
    <n v="2023"/>
    <n v="2"/>
    <n v="13210101003"/>
    <n v="5"/>
    <n v="1030"/>
    <x v="69"/>
    <n v="0"/>
    <n v="0"/>
    <n v="10000"/>
  </r>
  <r>
    <n v="2023"/>
    <n v="2"/>
    <n v="13210101005"/>
    <n v="5"/>
    <n v="1511"/>
    <x v="70"/>
    <n v="0"/>
    <n v="0"/>
    <n v="1000"/>
  </r>
  <r>
    <n v="2023"/>
    <n v="2"/>
    <n v="13210101006"/>
    <n v="2"/>
    <n v="1780"/>
    <x v="71"/>
    <n v="88340.42"/>
    <n v="203804.87"/>
    <n v="336000"/>
  </r>
  <r>
    <n v="2023"/>
    <n v="2"/>
    <n v="13210101007"/>
    <n v="5"/>
    <n v="1074"/>
    <x v="72"/>
    <n v="1980.31"/>
    <n v="5648.92"/>
    <n v="0"/>
  </r>
  <r>
    <n v="2023"/>
    <n v="2"/>
    <n v="13210101008"/>
    <n v="1"/>
    <n v="1546"/>
    <x v="73"/>
    <n v="19343.099999999999"/>
    <n v="29327.439999999999"/>
    <n v="2049000"/>
  </r>
  <r>
    <n v="2023"/>
    <n v="2"/>
    <n v="13210101009"/>
    <n v="5"/>
    <n v="1750"/>
    <x v="74"/>
    <n v="392839.46"/>
    <n v="844163.78"/>
    <n v="4126000"/>
  </r>
  <r>
    <n v="2023"/>
    <n v="2"/>
    <n v="13210101010"/>
    <n v="5"/>
    <n v="1500"/>
    <x v="75"/>
    <n v="8710.2800000000007"/>
    <n v="20016.189999999999"/>
    <n v="767000"/>
  </r>
  <r>
    <n v="2023"/>
    <n v="2"/>
    <n v="13210101012"/>
    <n v="1"/>
    <n v="1123"/>
    <x v="76"/>
    <n v="921.63"/>
    <n v="3748.53"/>
    <n v="10000"/>
  </r>
  <r>
    <n v="2023"/>
    <n v="2"/>
    <n v="13210101013"/>
    <n v="5"/>
    <n v="1730"/>
    <x v="77"/>
    <n v="8137.06"/>
    <n v="18497.87"/>
    <n v="61000"/>
  </r>
  <r>
    <n v="2023"/>
    <n v="2"/>
    <n v="13210101014"/>
    <n v="3"/>
    <n v="1913"/>
    <x v="78"/>
    <n v="93729.34"/>
    <n v="216445.78"/>
    <n v="710000"/>
  </r>
  <r>
    <n v="2023"/>
    <n v="2"/>
    <n v="13210101016"/>
    <n v="3"/>
    <n v="1210"/>
    <x v="79"/>
    <n v="123510.65"/>
    <n v="317140.2"/>
    <n v="300000"/>
  </r>
  <r>
    <n v="2023"/>
    <n v="2"/>
    <n v="13210101017"/>
    <n v="3"/>
    <n v="1820"/>
    <x v="80"/>
    <n v="9980.49"/>
    <n v="25906.28"/>
    <n v="92000"/>
  </r>
  <r>
    <n v="2023"/>
    <n v="2"/>
    <n v="13210101018"/>
    <n v="3"/>
    <n v="1134"/>
    <x v="81"/>
    <n v="26768.68"/>
    <n v="53611.05"/>
    <n v="255000"/>
  </r>
  <r>
    <n v="2023"/>
    <n v="2"/>
    <n v="13210101022"/>
    <n v="5"/>
    <n v="1700"/>
    <x v="82"/>
    <n v="151.30000000000001"/>
    <n v="333.91"/>
    <n v="0"/>
  </r>
  <r>
    <n v="2023"/>
    <n v="2"/>
    <n v="13210101024"/>
    <n v="5"/>
    <n v="1917"/>
    <x v="83"/>
    <n v="4696.99"/>
    <n v="11286.89"/>
    <n v="0"/>
  </r>
  <r>
    <n v="2023"/>
    <n v="2"/>
    <n v="13210101025"/>
    <n v="2"/>
    <n v="1450"/>
    <x v="84"/>
    <n v="5324"/>
    <n v="12314.92"/>
    <n v="0"/>
  </r>
  <r>
    <n v="2023"/>
    <n v="2"/>
    <n v="13210101028"/>
    <n v="5"/>
    <n v="1916"/>
    <x v="85"/>
    <n v="146.27000000000001"/>
    <n v="346.99"/>
    <n v="0"/>
  </r>
  <r>
    <n v="2023"/>
    <n v="2"/>
    <n v="13210101036"/>
    <n v="6"/>
    <n v="1116"/>
    <x v="86"/>
    <n v="5.89"/>
    <n v="13.01"/>
    <n v="0"/>
  </r>
  <r>
    <n v="2023"/>
    <n v="2"/>
    <n v="13210101040"/>
    <n v="2"/>
    <n v="1563"/>
    <x v="87"/>
    <n v="33.24"/>
    <n v="73.36"/>
    <n v="0"/>
  </r>
  <r>
    <n v="2023"/>
    <n v="2"/>
    <n v="13210101041"/>
    <n v="2"/>
    <n v="1731"/>
    <x v="88"/>
    <n v="2311.29"/>
    <n v="5466.18"/>
    <n v="37000"/>
  </r>
  <r>
    <n v="2023"/>
    <n v="2"/>
    <n v="13210101042"/>
    <n v="1"/>
    <n v="1121"/>
    <x v="89"/>
    <n v="34871.769999999997"/>
    <n v="82451.149999999994"/>
    <n v="801000"/>
  </r>
  <r>
    <n v="2023"/>
    <n v="2"/>
    <n v="13210101045"/>
    <n v="6"/>
    <n v="1119"/>
    <x v="90"/>
    <n v="1278.24"/>
    <n v="3031.88"/>
    <n v="0"/>
  </r>
  <r>
    <n v="2023"/>
    <n v="2"/>
    <n v="13210101048"/>
    <n v="3"/>
    <n v="1127"/>
    <x v="91"/>
    <n v="141.30000000000001"/>
    <n v="374.24"/>
    <n v="1000"/>
  </r>
  <r>
    <n v="2023"/>
    <n v="2"/>
    <n v="13210101049"/>
    <n v="2"/>
    <n v="1128"/>
    <x v="92"/>
    <n v="27201.119999999999"/>
    <n v="61009.1"/>
    <n v="0"/>
  </r>
  <r>
    <n v="2023"/>
    <n v="2"/>
    <n v="13210101050"/>
    <n v="3"/>
    <n v="1129"/>
    <x v="93"/>
    <n v="30365.21"/>
    <n v="73025.14"/>
    <n v="285000"/>
  </r>
  <r>
    <n v="2023"/>
    <n v="2"/>
    <n v="13210101051"/>
    <n v="3"/>
    <n v="1130"/>
    <x v="94"/>
    <n v="9295.24"/>
    <n v="25860.3"/>
    <n v="136000"/>
  </r>
  <r>
    <n v="2023"/>
    <n v="2"/>
    <n v="13210101053"/>
    <n v="3"/>
    <n v="1143"/>
    <x v="95"/>
    <n v="1607.49"/>
    <n v="4368.3500000000004"/>
    <n v="1000"/>
  </r>
  <r>
    <n v="2023"/>
    <n v="2"/>
    <n v="13210101055"/>
    <n v="5"/>
    <n v="1145"/>
    <x v="96"/>
    <n v="13712.61"/>
    <n v="30217.67"/>
    <n v="0"/>
  </r>
  <r>
    <n v="2023"/>
    <n v="2"/>
    <n v="13210101056"/>
    <n v="5"/>
    <n v="1146"/>
    <x v="97"/>
    <n v="98.41"/>
    <n v="1433.15"/>
    <n v="13000"/>
  </r>
  <r>
    <n v="2023"/>
    <n v="2"/>
    <n v="13210101057"/>
    <n v="5"/>
    <n v="1147"/>
    <x v="98"/>
    <n v="144.12"/>
    <n v="318.76"/>
    <n v="0"/>
  </r>
  <r>
    <n v="2023"/>
    <n v="2"/>
    <n v="13210101058"/>
    <n v="2"/>
    <n v="1148"/>
    <x v="99"/>
    <n v="213.24"/>
    <n v="470.6"/>
    <n v="0"/>
  </r>
  <r>
    <n v="2023"/>
    <n v="2"/>
    <n v="13210101059"/>
    <n v="3"/>
    <n v="1149"/>
    <x v="100"/>
    <n v="47.44"/>
    <n v="125.65"/>
    <n v="1000"/>
  </r>
  <r>
    <n v="2023"/>
    <n v="2"/>
    <n v="13210101060"/>
    <n v="5"/>
    <n v="1152"/>
    <x v="101"/>
    <n v="17118.62"/>
    <n v="37723.279999999999"/>
    <n v="0"/>
  </r>
  <r>
    <n v="2023"/>
    <n v="2"/>
    <n v="13210101061"/>
    <n v="3"/>
    <n v="1999"/>
    <x v="102"/>
    <n v="1687.09"/>
    <n v="4493.93"/>
    <n v="14000"/>
  </r>
  <r>
    <n v="2023"/>
    <n v="2"/>
    <n v="13210101067"/>
    <n v="3"/>
    <n v="1158"/>
    <x v="103"/>
    <n v="19498.18"/>
    <n v="51367.9"/>
    <n v="213000"/>
  </r>
  <r>
    <n v="2023"/>
    <n v="2"/>
    <n v="13210101068"/>
    <n v="1"/>
    <n v="1159"/>
    <x v="104"/>
    <n v="47.94"/>
    <n v="105.79"/>
    <n v="0"/>
  </r>
  <r>
    <n v="2023"/>
    <n v="2"/>
    <n v="13210101069"/>
    <n v="7"/>
    <n v="1160"/>
    <x v="105"/>
    <n v="131.07"/>
    <n v="289.26"/>
    <n v="0"/>
  </r>
  <r>
    <n v="2023"/>
    <n v="2"/>
    <n v="13210101070"/>
    <n v="1"/>
    <n v="1066"/>
    <x v="106"/>
    <n v="3011610.96"/>
    <n v="6239567.3499999996"/>
    <n v="22852000"/>
  </r>
  <r>
    <n v="2023"/>
    <n v="2"/>
    <n v="13210101071"/>
    <n v="1"/>
    <n v="1112"/>
    <x v="107"/>
    <n v="12892.01"/>
    <n v="28410.26"/>
    <n v="103000"/>
  </r>
  <r>
    <n v="2023"/>
    <n v="2"/>
    <n v="13210101072"/>
    <n v="1"/>
    <n v="1117"/>
    <x v="108"/>
    <n v="3845.06"/>
    <n v="5860.41"/>
    <n v="32000"/>
  </r>
  <r>
    <n v="2023"/>
    <n v="2"/>
    <n v="13210101073"/>
    <n v="1"/>
    <n v="1118"/>
    <x v="109"/>
    <n v="23970.48"/>
    <n v="56863.55"/>
    <n v="158000"/>
  </r>
  <r>
    <n v="2023"/>
    <n v="2"/>
    <n v="13210101074"/>
    <n v="5"/>
    <n v="1125"/>
    <x v="110"/>
    <n v="368697.8"/>
    <n v="785156.07"/>
    <n v="3552000"/>
  </r>
  <r>
    <n v="2023"/>
    <n v="2"/>
    <n v="13210101076"/>
    <n v="3"/>
    <n v="1162"/>
    <x v="111"/>
    <n v="71.78"/>
    <n v="163.56"/>
    <n v="2000"/>
  </r>
  <r>
    <n v="2023"/>
    <n v="2"/>
    <n v="13210101082"/>
    <n v="5"/>
    <n v="1168"/>
    <x v="112"/>
    <n v="5061.8500000000004"/>
    <n v="11330.65"/>
    <n v="0"/>
  </r>
  <r>
    <n v="2023"/>
    <n v="2"/>
    <n v="13210101083"/>
    <n v="3"/>
    <n v="1169"/>
    <x v="113"/>
    <n v="23815.51"/>
    <n v="54715.16"/>
    <n v="122000"/>
  </r>
  <r>
    <n v="2023"/>
    <n v="2"/>
    <n v="13210101085"/>
    <n v="6"/>
    <n v="1181"/>
    <x v="114"/>
    <n v="393.67"/>
    <n v="860.82"/>
    <n v="22000"/>
  </r>
  <r>
    <n v="2023"/>
    <n v="2"/>
    <n v="13210101086"/>
    <n v="3"/>
    <n v="1182"/>
    <x v="115"/>
    <n v="95142.720000000001"/>
    <n v="222135.73"/>
    <n v="393000"/>
  </r>
  <r>
    <n v="2023"/>
    <n v="2"/>
    <n v="13210101087"/>
    <n v="6"/>
    <n v="1183"/>
    <x v="116"/>
    <n v="1498.23"/>
    <n v="3301.82"/>
    <n v="0"/>
  </r>
  <r>
    <n v="2023"/>
    <n v="2"/>
    <n v="13210101089"/>
    <n v="1"/>
    <n v="1185"/>
    <x v="117"/>
    <n v="2035.28"/>
    <n v="4424.46"/>
    <n v="14000"/>
  </r>
  <r>
    <n v="2023"/>
    <n v="2"/>
    <n v="13210101093"/>
    <n v="2"/>
    <n v="1189"/>
    <x v="118"/>
    <n v="6.34"/>
    <n v="14"/>
    <n v="0"/>
  </r>
  <r>
    <n v="2023"/>
    <n v="2"/>
    <n v="13210101095"/>
    <n v="6"/>
    <n v="1191"/>
    <x v="119"/>
    <n v="96.72"/>
    <n v="213.45"/>
    <n v="0"/>
  </r>
  <r>
    <n v="2023"/>
    <n v="2"/>
    <n v="13210101096"/>
    <n v="6"/>
    <n v="1192"/>
    <x v="120"/>
    <n v="258.2"/>
    <n v="578.12"/>
    <n v="2000"/>
  </r>
  <r>
    <n v="2023"/>
    <n v="2"/>
    <n v="13210101098"/>
    <n v="1"/>
    <n v="1194"/>
    <x v="121"/>
    <n v="12473.9"/>
    <n v="29500.15"/>
    <n v="194000"/>
  </r>
  <r>
    <n v="2023"/>
    <n v="2"/>
    <n v="13210101100"/>
    <n v="5"/>
    <n v="1196"/>
    <x v="122"/>
    <n v="461.52"/>
    <n v="1017.03"/>
    <n v="0"/>
  </r>
  <r>
    <n v="2023"/>
    <n v="2"/>
    <n v="13210101101"/>
    <n v="5"/>
    <n v="1197"/>
    <x v="123"/>
    <n v="565.07000000000005"/>
    <n v="1245.18"/>
    <n v="0"/>
  </r>
  <r>
    <n v="2023"/>
    <n v="2"/>
    <n v="13210101103"/>
    <n v="6"/>
    <n v="1199"/>
    <x v="124"/>
    <n v="7.11"/>
    <n v="15.73"/>
    <n v="0"/>
  </r>
  <r>
    <n v="2023"/>
    <n v="2"/>
    <n v="13210101107"/>
    <n v="6"/>
    <n v="1215"/>
    <x v="125"/>
    <n v="43215.17"/>
    <n v="95230.74"/>
    <n v="0"/>
  </r>
  <r>
    <n v="2023"/>
    <n v="2"/>
    <n v="13210101108"/>
    <n v="6"/>
    <n v="1216"/>
    <x v="126"/>
    <n v="5608.12"/>
    <n v="10578.5"/>
    <n v="0"/>
  </r>
  <r>
    <n v="2023"/>
    <n v="2"/>
    <n v="13210101109"/>
    <n v="6"/>
    <n v="1217"/>
    <x v="127"/>
    <n v="48383.56"/>
    <n v="106620.01"/>
    <n v="0"/>
  </r>
  <r>
    <n v="2023"/>
    <n v="2"/>
    <n v="13210101110"/>
    <n v="6"/>
    <n v="1218"/>
    <x v="128"/>
    <n v="490.71"/>
    <n v="1085.3399999999999"/>
    <n v="0"/>
  </r>
  <r>
    <n v="2023"/>
    <n v="2"/>
    <n v="13210101112"/>
    <n v="5"/>
    <n v="1222"/>
    <x v="129"/>
    <n v="1.08"/>
    <n v="2.38"/>
    <n v="0"/>
  </r>
  <r>
    <n v="2023"/>
    <n v="2"/>
    <n v="13210101113"/>
    <n v="5"/>
    <n v="1223"/>
    <x v="130"/>
    <n v="6.37"/>
    <n v="14.09"/>
    <n v="0"/>
  </r>
  <r>
    <n v="2023"/>
    <n v="2"/>
    <n v="13210101114"/>
    <n v="5"/>
    <n v="1224"/>
    <x v="131"/>
    <n v="8.0299999999999994"/>
    <n v="17.73"/>
    <n v="0"/>
  </r>
  <r>
    <n v="2023"/>
    <n v="2"/>
    <n v="13210101115"/>
    <n v="3"/>
    <n v="1225"/>
    <x v="132"/>
    <n v="29296.78"/>
    <n v="93697.05"/>
    <n v="240000"/>
  </r>
  <r>
    <n v="2023"/>
    <n v="2"/>
    <n v="13210101117"/>
    <n v="6"/>
    <n v="1227"/>
    <x v="133"/>
    <n v="29.02"/>
    <n v="64.17"/>
    <n v="0"/>
  </r>
  <r>
    <n v="2023"/>
    <n v="2"/>
    <n v="13210101128"/>
    <n v="3"/>
    <n v="1238"/>
    <x v="134"/>
    <n v="928.5"/>
    <n v="2046.08"/>
    <n v="0"/>
  </r>
  <r>
    <n v="2023"/>
    <n v="2"/>
    <n v="13210101131"/>
    <n v="6"/>
    <n v="1243"/>
    <x v="135"/>
    <n v="425.71"/>
    <n v="941.57"/>
    <n v="0"/>
  </r>
  <r>
    <n v="2023"/>
    <n v="2"/>
    <n v="13210101132"/>
    <n v="2"/>
    <n v="1245"/>
    <x v="136"/>
    <n v="390.29"/>
    <n v="956.24"/>
    <n v="0"/>
  </r>
  <r>
    <n v="2023"/>
    <n v="2"/>
    <n v="13210101133"/>
    <n v="6"/>
    <n v="1246"/>
    <x v="137"/>
    <n v="93323.28"/>
    <n v="204253.93"/>
    <n v="0"/>
  </r>
  <r>
    <n v="2023"/>
    <n v="2"/>
    <n v="13210101134"/>
    <n v="1"/>
    <n v="1247"/>
    <x v="138"/>
    <n v="3561.9"/>
    <n v="7849.15"/>
    <n v="0"/>
  </r>
  <r>
    <n v="2023"/>
    <n v="2"/>
    <n v="13210101135"/>
    <n v="2"/>
    <n v="1248"/>
    <x v="139"/>
    <n v="3093.03"/>
    <n v="6815.93"/>
    <n v="0"/>
  </r>
  <r>
    <n v="2023"/>
    <n v="2"/>
    <n v="13210101137"/>
    <n v="2"/>
    <n v="1250"/>
    <x v="140"/>
    <n v="9.61"/>
    <n v="21.21"/>
    <n v="0"/>
  </r>
  <r>
    <n v="2023"/>
    <n v="2"/>
    <n v="13210101138"/>
    <n v="5"/>
    <n v="1251"/>
    <x v="141"/>
    <n v="95.43"/>
    <n v="326.87"/>
    <n v="0"/>
  </r>
  <r>
    <n v="2023"/>
    <n v="2"/>
    <n v="13210101140"/>
    <n v="3"/>
    <n v="1254"/>
    <x v="142"/>
    <n v="68064.08"/>
    <n v="150235.06"/>
    <n v="447000"/>
  </r>
  <r>
    <n v="2023"/>
    <n v="2"/>
    <n v="13210101141"/>
    <n v="2"/>
    <n v="1263"/>
    <x v="143"/>
    <n v="29.17"/>
    <n v="64.37"/>
    <n v="0"/>
  </r>
  <r>
    <n v="2023"/>
    <n v="2"/>
    <n v="13210101142"/>
    <n v="5"/>
    <n v="1255"/>
    <x v="144"/>
    <n v="4052.37"/>
    <n v="8944.2800000000007"/>
    <n v="0"/>
  </r>
  <r>
    <n v="2023"/>
    <n v="2"/>
    <n v="13210101144"/>
    <n v="5"/>
    <n v="1261"/>
    <x v="145"/>
    <n v="82.76"/>
    <n v="169.76"/>
    <n v="0"/>
  </r>
  <r>
    <n v="2023"/>
    <n v="2"/>
    <n v="13210101145"/>
    <n v="2"/>
    <n v="1262"/>
    <x v="146"/>
    <n v="2344.13"/>
    <n v="5165.62"/>
    <n v="0"/>
  </r>
  <r>
    <n v="2023"/>
    <n v="2"/>
    <n v="13210101146"/>
    <n v="6"/>
    <n v="1253"/>
    <x v="147"/>
    <n v="155.4"/>
    <n v="338.62"/>
    <n v="0"/>
  </r>
  <r>
    <n v="2023"/>
    <n v="2"/>
    <n v="13210101147"/>
    <n v="2"/>
    <n v="1264"/>
    <x v="148"/>
    <n v="1.25"/>
    <n v="4.3"/>
    <n v="0"/>
  </r>
  <r>
    <n v="2023"/>
    <n v="2"/>
    <n v="13210101148"/>
    <n v="5"/>
    <n v="1265"/>
    <x v="149"/>
    <n v="2598.1799999999998"/>
    <n v="6275.99"/>
    <n v="0"/>
  </r>
  <r>
    <n v="2023"/>
    <n v="2"/>
    <n v="13210101149"/>
    <n v="6"/>
    <n v="1266"/>
    <x v="150"/>
    <n v="157084.47"/>
    <n v="346157.81"/>
    <n v="0"/>
  </r>
  <r>
    <n v="2023"/>
    <n v="2"/>
    <n v="13210101150"/>
    <n v="5"/>
    <n v="1267"/>
    <x v="151"/>
    <n v="301.72000000000003"/>
    <n v="1277"/>
    <n v="36000"/>
  </r>
  <r>
    <n v="2023"/>
    <n v="2"/>
    <n v="13210101151"/>
    <n v="1"/>
    <n v="1268"/>
    <x v="152"/>
    <n v="1232.94"/>
    <n v="2550.9699999999998"/>
    <n v="0"/>
  </r>
  <r>
    <n v="2023"/>
    <n v="2"/>
    <n v="13210101152"/>
    <n v="5"/>
    <n v="1269"/>
    <x v="153"/>
    <n v="327.37"/>
    <n v="1336.14"/>
    <n v="0"/>
  </r>
  <r>
    <n v="2023"/>
    <n v="2"/>
    <n v="13210101154"/>
    <n v="2"/>
    <n v="1271"/>
    <x v="154"/>
    <n v="591.86"/>
    <n v="1303.93"/>
    <n v="0"/>
  </r>
  <r>
    <n v="2023"/>
    <n v="2"/>
    <n v="13210101157"/>
    <n v="2"/>
    <n v="1274"/>
    <x v="155"/>
    <n v="14921.85"/>
    <n v="26489.41"/>
    <n v="240000"/>
  </r>
  <r>
    <n v="2023"/>
    <n v="2"/>
    <n v="13210101158"/>
    <n v="2"/>
    <n v="1278"/>
    <x v="156"/>
    <n v="6385.11"/>
    <n v="14070.48"/>
    <n v="0"/>
  </r>
  <r>
    <n v="2023"/>
    <n v="2"/>
    <n v="13210101159"/>
    <n v="5"/>
    <n v="1277"/>
    <x v="157"/>
    <n v="402.76"/>
    <n v="890.82"/>
    <n v="0"/>
  </r>
  <r>
    <n v="2023"/>
    <n v="2"/>
    <n v="13210101160"/>
    <n v="2"/>
    <n v="1012"/>
    <x v="158"/>
    <n v="702.09"/>
    <n v="1619.18"/>
    <n v="0"/>
  </r>
  <r>
    <n v="2023"/>
    <n v="2"/>
    <n v="13210101161"/>
    <n v="2"/>
    <n v="1013"/>
    <x v="159"/>
    <n v="236.39"/>
    <n v="521.70000000000005"/>
    <n v="0"/>
  </r>
  <r>
    <n v="2023"/>
    <n v="2"/>
    <n v="13210101162"/>
    <n v="5"/>
    <n v="1256"/>
    <x v="160"/>
    <n v="18485.71"/>
    <n v="40810.53"/>
    <n v="0"/>
  </r>
  <r>
    <n v="2023"/>
    <n v="2"/>
    <n v="13210101163"/>
    <n v="2"/>
    <n v="1014"/>
    <x v="161"/>
    <n v="363.92"/>
    <n v="803.14"/>
    <n v="0"/>
  </r>
  <r>
    <n v="2023"/>
    <n v="2"/>
    <n v="13210101166"/>
    <n v="2"/>
    <n v="1285"/>
    <x v="162"/>
    <n v="4140.1400000000003"/>
    <n v="9123.39"/>
    <n v="0"/>
  </r>
  <r>
    <n v="2023"/>
    <n v="2"/>
    <n v="13210101167"/>
    <n v="2"/>
    <n v="1016"/>
    <x v="163"/>
    <n v="13.21"/>
    <n v="29.16"/>
    <n v="0"/>
  </r>
  <r>
    <n v="2023"/>
    <n v="2"/>
    <n v="13210101168"/>
    <n v="5"/>
    <n v="1282"/>
    <x v="164"/>
    <n v="959"/>
    <n v="2116.31"/>
    <n v="0"/>
  </r>
  <r>
    <n v="2023"/>
    <n v="2"/>
    <n v="13210101169"/>
    <n v="1"/>
    <n v="1286"/>
    <x v="165"/>
    <n v="4619.1499999999996"/>
    <n v="4619.1499999999996"/>
    <n v="0"/>
  </r>
  <r>
    <n v="2023"/>
    <n v="2"/>
    <n v="13220000000"/>
    <m/>
    <m/>
    <x v="166"/>
    <n v="0"/>
    <n v="0"/>
    <n v="99000"/>
  </r>
  <r>
    <n v="2023"/>
    <n v="2"/>
    <n v="13220100000"/>
    <m/>
    <m/>
    <x v="166"/>
    <n v="0"/>
    <n v="0"/>
    <n v="99000"/>
  </r>
  <r>
    <n v="2023"/>
    <n v="2"/>
    <n v="13220101001"/>
    <n v="1"/>
    <n v="1058"/>
    <x v="167"/>
    <n v="0"/>
    <n v="0"/>
    <n v="99000"/>
  </r>
  <r>
    <n v="2023"/>
    <n v="2"/>
    <n v="17000000000"/>
    <m/>
    <m/>
    <x v="168"/>
    <n v="195895281.87"/>
    <n v="486406851.37"/>
    <n v="2486335000"/>
  </r>
  <r>
    <n v="2023"/>
    <n v="2"/>
    <n v="17100000000"/>
    <m/>
    <m/>
    <x v="169"/>
    <n v="34534636.299999997"/>
    <n v="67670233.439999998"/>
    <n v="389736000"/>
  </r>
  <r>
    <n v="2023"/>
    <n v="2"/>
    <n v="17110000000"/>
    <m/>
    <m/>
    <x v="170"/>
    <n v="13389590.42"/>
    <n v="23392707.02"/>
    <n v="122321000"/>
  </r>
  <r>
    <n v="2023"/>
    <n v="2"/>
    <n v="17115100000"/>
    <m/>
    <m/>
    <x v="171"/>
    <n v="13384068.390000001"/>
    <n v="23383736.91"/>
    <n v="122033000"/>
  </r>
  <r>
    <n v="2023"/>
    <n v="2"/>
    <n v="17115110000"/>
    <m/>
    <m/>
    <x v="172"/>
    <n v="13384068.390000001"/>
    <n v="23383736.91"/>
    <n v="112637000"/>
  </r>
  <r>
    <n v="2023"/>
    <n v="2"/>
    <n v="17115111001"/>
    <n v="1"/>
    <n v="1163"/>
    <x v="173"/>
    <n v="13384068.390000001"/>
    <n v="23383736.91"/>
    <n v="112637000"/>
  </r>
  <r>
    <n v="2023"/>
    <n v="2"/>
    <n v="17115120000"/>
    <m/>
    <m/>
    <x v="174"/>
    <n v="0"/>
    <n v="0"/>
    <n v="9396000"/>
  </r>
  <r>
    <n v="2023"/>
    <n v="2"/>
    <n v="17115121001"/>
    <n v="1"/>
    <n v="2962"/>
    <x v="175"/>
    <n v="0"/>
    <n v="0"/>
    <n v="4465000"/>
  </r>
  <r>
    <n v="2023"/>
    <n v="2"/>
    <n v="17115121002"/>
    <n v="1"/>
    <n v="2961"/>
    <x v="176"/>
    <n v="0"/>
    <n v="0"/>
    <n v="3945000"/>
  </r>
  <r>
    <n v="2023"/>
    <n v="2"/>
    <n v="17115121003"/>
    <n v="1"/>
    <n v="2013"/>
    <x v="177"/>
    <n v="0"/>
    <n v="0"/>
    <n v="986000"/>
  </r>
  <r>
    <n v="2023"/>
    <n v="2"/>
    <n v="17115200000"/>
    <m/>
    <m/>
    <x v="178"/>
    <n v="5522.03"/>
    <n v="8970.11"/>
    <n v="288000"/>
  </r>
  <r>
    <n v="2023"/>
    <n v="2"/>
    <n v="17115201001"/>
    <n v="1"/>
    <n v="1198"/>
    <x v="179"/>
    <n v="5522.03"/>
    <n v="8970.11"/>
    <n v="288000"/>
  </r>
  <r>
    <n v="2023"/>
    <n v="2"/>
    <n v="17120000000"/>
    <m/>
    <m/>
    <x v="180"/>
    <n v="1202220.8999999999"/>
    <n v="2518687.91"/>
    <n v="16483000"/>
  </r>
  <r>
    <n v="2023"/>
    <n v="2"/>
    <n v="17125000000"/>
    <m/>
    <m/>
    <x v="181"/>
    <n v="17439.23"/>
    <n v="17439.23"/>
    <n v="232000"/>
  </r>
  <r>
    <n v="2023"/>
    <n v="2"/>
    <n v="17125001001"/>
    <n v="1"/>
    <n v="1171"/>
    <x v="182"/>
    <n v="17439.23"/>
    <n v="17439.23"/>
    <n v="232000"/>
  </r>
  <r>
    <n v="2023"/>
    <n v="2"/>
    <n v="17125100000"/>
    <m/>
    <m/>
    <x v="183"/>
    <n v="9365.35"/>
    <n v="209896.75"/>
    <n v="2032000"/>
  </r>
  <r>
    <n v="2023"/>
    <n v="2"/>
    <n v="17125101001"/>
    <n v="1"/>
    <n v="2275"/>
    <x v="184"/>
    <n v="9365.35"/>
    <n v="209896.75"/>
    <n v="2032000"/>
  </r>
  <r>
    <n v="2023"/>
    <n v="2"/>
    <n v="17125200000"/>
    <m/>
    <m/>
    <x v="185"/>
    <n v="1175416.3200000001"/>
    <n v="2291351.9300000002"/>
    <n v="14219000"/>
  </r>
  <r>
    <n v="2023"/>
    <n v="2"/>
    <n v="17125210000"/>
    <m/>
    <m/>
    <x v="186"/>
    <n v="965671.88"/>
    <n v="1834204.57"/>
    <n v="11143000"/>
  </r>
  <r>
    <n v="2023"/>
    <n v="2"/>
    <n v="17125211001"/>
    <n v="1"/>
    <n v="1201"/>
    <x v="187"/>
    <n v="965671.88"/>
    <n v="1834204.57"/>
    <n v="11143000"/>
  </r>
  <r>
    <n v="2023"/>
    <n v="2"/>
    <n v="17125220000"/>
    <m/>
    <m/>
    <x v="188"/>
    <n v="19024.73"/>
    <n v="57851.51"/>
    <n v="444000"/>
  </r>
  <r>
    <n v="2023"/>
    <n v="2"/>
    <n v="17125221001"/>
    <n v="1"/>
    <n v="1202"/>
    <x v="189"/>
    <n v="19024.73"/>
    <n v="57851.51"/>
    <n v="444000"/>
  </r>
  <r>
    <n v="2023"/>
    <n v="2"/>
    <n v="17125240000"/>
    <m/>
    <m/>
    <x v="190"/>
    <n v="190719.71"/>
    <n v="399295.85"/>
    <n v="2632000"/>
  </r>
  <r>
    <n v="2023"/>
    <n v="2"/>
    <n v="17125241001"/>
    <n v="1"/>
    <n v="1203"/>
    <x v="191"/>
    <n v="190719.71"/>
    <n v="399295.85"/>
    <n v="2632000"/>
  </r>
  <r>
    <n v="2023"/>
    <n v="2"/>
    <n v="17130000000"/>
    <m/>
    <m/>
    <x v="192"/>
    <n v="13477993.74"/>
    <n v="26588483.510000002"/>
    <n v="171379000"/>
  </r>
  <r>
    <n v="2023"/>
    <n v="2"/>
    <n v="17135000000"/>
    <m/>
    <m/>
    <x v="193"/>
    <n v="13477993.74"/>
    <n v="26588483.510000002"/>
    <n v="171379000"/>
  </r>
  <r>
    <n v="2023"/>
    <n v="2"/>
    <n v="17135010000"/>
    <m/>
    <m/>
    <x v="194"/>
    <n v="3116517.23"/>
    <n v="5400694"/>
    <n v="33000000"/>
  </r>
  <r>
    <n v="2023"/>
    <n v="2"/>
    <n v="17135011001"/>
    <n v="5"/>
    <n v="1420"/>
    <x v="195"/>
    <n v="2543637.23"/>
    <n v="4275766"/>
    <n v="25553000"/>
  </r>
  <r>
    <n v="2023"/>
    <n v="2"/>
    <n v="17135011004"/>
    <n v="5"/>
    <n v="2003"/>
    <x v="196"/>
    <n v="572880"/>
    <n v="1124928"/>
    <n v="7447000"/>
  </r>
  <r>
    <n v="2023"/>
    <n v="2"/>
    <n v="17135020000"/>
    <m/>
    <m/>
    <x v="197"/>
    <n v="9958810.8900000006"/>
    <n v="19913738.27"/>
    <n v="126000000"/>
  </r>
  <r>
    <n v="2023"/>
    <n v="2"/>
    <n v="17135021001"/>
    <n v="5"/>
    <n v="1406"/>
    <x v="198"/>
    <n v="9958810.8900000006"/>
    <n v="19913738.27"/>
    <n v="126000000"/>
  </r>
  <r>
    <n v="2023"/>
    <n v="2"/>
    <n v="17135030000"/>
    <m/>
    <m/>
    <x v="199"/>
    <n v="50717.919999999998"/>
    <n v="570155.84"/>
    <n v="7936000"/>
  </r>
  <r>
    <n v="2023"/>
    <n v="2"/>
    <n v="17135031001"/>
    <n v="5"/>
    <n v="1350"/>
    <x v="200"/>
    <n v="0"/>
    <n v="0"/>
    <n v="1442000"/>
  </r>
  <r>
    <n v="2023"/>
    <n v="2"/>
    <n v="17135031002"/>
    <n v="5"/>
    <n v="1341"/>
    <x v="201"/>
    <n v="50717.919999999998"/>
    <n v="101435.84"/>
    <n v="608000"/>
  </r>
  <r>
    <n v="2023"/>
    <n v="2"/>
    <n v="17135031003"/>
    <n v="5"/>
    <n v="2002"/>
    <x v="202"/>
    <n v="0"/>
    <n v="468720"/>
    <n v="5886000"/>
  </r>
  <r>
    <n v="2023"/>
    <n v="2"/>
    <n v="17135040000"/>
    <m/>
    <m/>
    <x v="203"/>
    <n v="351947.7"/>
    <n v="703895.4"/>
    <n v="4443000"/>
  </r>
  <r>
    <n v="2023"/>
    <n v="2"/>
    <n v="17135041001"/>
    <n v="5"/>
    <n v="1376"/>
    <x v="204"/>
    <n v="351947.7"/>
    <n v="703895.4"/>
    <n v="4443000"/>
  </r>
  <r>
    <n v="2023"/>
    <n v="2"/>
    <n v="17140000000"/>
    <m/>
    <m/>
    <x v="205"/>
    <n v="5657147.46"/>
    <n v="13830220.029999999"/>
    <n v="71693000"/>
  </r>
  <r>
    <n v="2023"/>
    <n v="2"/>
    <n v="17145000000"/>
    <m/>
    <m/>
    <x v="206"/>
    <n v="4801503.9800000004"/>
    <n v="12974576.550000001"/>
    <n v="59931000"/>
  </r>
  <r>
    <n v="2023"/>
    <n v="2"/>
    <n v="17145001001"/>
    <n v="5"/>
    <n v="1260"/>
    <x v="207"/>
    <n v="4801503.9800000004"/>
    <n v="12974576.550000001"/>
    <n v="59931000"/>
  </r>
  <r>
    <n v="2023"/>
    <n v="2"/>
    <n v="17145200000"/>
    <m/>
    <m/>
    <x v="208"/>
    <n v="855643.48"/>
    <n v="855643.48"/>
    <n v="11055000"/>
  </r>
  <r>
    <n v="2023"/>
    <n v="2"/>
    <n v="17145201001"/>
    <n v="5"/>
    <n v="2731"/>
    <x v="209"/>
    <n v="176182.2"/>
    <n v="176182.2"/>
    <n v="2326000"/>
  </r>
  <r>
    <n v="2023"/>
    <n v="2"/>
    <n v="17145201002"/>
    <n v="5"/>
    <n v="2732"/>
    <x v="210"/>
    <n v="20140"/>
    <n v="20140"/>
    <n v="223000"/>
  </r>
  <r>
    <n v="2023"/>
    <n v="2"/>
    <n v="17145201003"/>
    <n v="5"/>
    <n v="2733"/>
    <x v="211"/>
    <n v="316591.59999999998"/>
    <n v="316591.59999999998"/>
    <n v="3948000"/>
  </r>
  <r>
    <n v="2023"/>
    <n v="2"/>
    <n v="17145201004"/>
    <n v="5"/>
    <n v="2734"/>
    <x v="212"/>
    <n v="331843.40000000002"/>
    <n v="331843.40000000002"/>
    <n v="4417000"/>
  </r>
  <r>
    <n v="2023"/>
    <n v="2"/>
    <n v="17145201005"/>
    <n v="5"/>
    <n v="2735"/>
    <x v="213"/>
    <n v="6912.08"/>
    <n v="6912.08"/>
    <n v="91000"/>
  </r>
  <r>
    <n v="2023"/>
    <n v="2"/>
    <n v="17145201006"/>
    <n v="5"/>
    <n v="2736"/>
    <x v="214"/>
    <n v="3974.2"/>
    <n v="3974.2"/>
    <n v="50000"/>
  </r>
  <r>
    <n v="2023"/>
    <n v="2"/>
    <n v="17145300000"/>
    <m/>
    <m/>
    <x v="215"/>
    <n v="0"/>
    <n v="0"/>
    <n v="707000"/>
  </r>
  <r>
    <n v="2023"/>
    <n v="2"/>
    <n v="17145301001"/>
    <n v="5"/>
    <n v="2740"/>
    <x v="216"/>
    <n v="0"/>
    <n v="0"/>
    <n v="707000"/>
  </r>
  <r>
    <n v="2023"/>
    <n v="2"/>
    <n v="17160000000"/>
    <m/>
    <m/>
    <x v="217"/>
    <n v="355550.68"/>
    <n v="455680.85"/>
    <n v="3476000"/>
  </r>
  <r>
    <n v="2023"/>
    <n v="2"/>
    <n v="17165000000"/>
    <m/>
    <m/>
    <x v="218"/>
    <n v="355550.68"/>
    <n v="455680.85"/>
    <n v="3476000"/>
  </r>
  <r>
    <n v="2023"/>
    <n v="2"/>
    <n v="17165001001"/>
    <n v="5"/>
    <n v="2180"/>
    <x v="219"/>
    <n v="258536.33"/>
    <n v="358666.5"/>
    <n v="1379000"/>
  </r>
  <r>
    <n v="2023"/>
    <n v="2"/>
    <n v="17165001002"/>
    <n v="5"/>
    <n v="2596"/>
    <x v="220"/>
    <n v="0"/>
    <n v="0"/>
    <n v="868000"/>
  </r>
  <r>
    <n v="2023"/>
    <n v="2"/>
    <n v="17165001006"/>
    <n v="5"/>
    <n v="2181"/>
    <x v="221"/>
    <n v="97014.35"/>
    <n v="97014.35"/>
    <n v="1229000"/>
  </r>
  <r>
    <n v="2023"/>
    <n v="2"/>
    <n v="17170000000"/>
    <m/>
    <m/>
    <x v="222"/>
    <n v="134460.18"/>
    <n v="249108.28"/>
    <n v="499000"/>
  </r>
  <r>
    <n v="2023"/>
    <n v="2"/>
    <n v="17179900000"/>
    <m/>
    <m/>
    <x v="223"/>
    <n v="134460.18"/>
    <n v="249108.28"/>
    <n v="499000"/>
  </r>
  <r>
    <n v="2023"/>
    <n v="2"/>
    <n v="17179901001"/>
    <n v="5"/>
    <n v="1172"/>
    <x v="224"/>
    <n v="134460.18"/>
    <n v="249108.28"/>
    <n v="0"/>
  </r>
  <r>
    <n v="2023"/>
    <n v="2"/>
    <n v="17179901007"/>
    <n v="5"/>
    <n v="2644"/>
    <x v="225"/>
    <n v="0"/>
    <n v="0"/>
    <n v="499000"/>
  </r>
  <r>
    <n v="2023"/>
    <n v="2"/>
    <n v="17190000000"/>
    <m/>
    <m/>
    <x v="223"/>
    <n v="317672.92"/>
    <n v="635345.84"/>
    <n v="3885000"/>
  </r>
  <r>
    <n v="2023"/>
    <n v="2"/>
    <n v="17195800000"/>
    <m/>
    <m/>
    <x v="226"/>
    <n v="317672.92"/>
    <n v="635345.84"/>
    <n v="3885000"/>
  </r>
  <r>
    <n v="2023"/>
    <n v="2"/>
    <n v="17195801001"/>
    <n v="5"/>
    <n v="1948"/>
    <x v="227"/>
    <n v="317672.92"/>
    <n v="635345.84"/>
    <n v="3885000"/>
  </r>
  <r>
    <n v="2023"/>
    <n v="2"/>
    <n v="17200000000"/>
    <m/>
    <m/>
    <x v="228"/>
    <n v="122846142.81999999"/>
    <n v="325818894.81999999"/>
    <n v="1598816000"/>
  </r>
  <r>
    <n v="2023"/>
    <n v="2"/>
    <n v="17210000000"/>
    <m/>
    <m/>
    <x v="229"/>
    <n v="119243994.98999999"/>
    <n v="320279181.32999998"/>
    <n v="1560625000"/>
  </r>
  <r>
    <n v="2023"/>
    <n v="2"/>
    <n v="17215000000"/>
    <m/>
    <m/>
    <x v="230"/>
    <n v="88320078.900000006"/>
    <n v="206480489.27000001"/>
    <n v="1362664000"/>
  </r>
  <r>
    <n v="2023"/>
    <n v="2"/>
    <n v="17215001001"/>
    <n v="1"/>
    <n v="1236"/>
    <x v="230"/>
    <n v="88320078.900000006"/>
    <n v="206480489.27000001"/>
    <n v="1362664000"/>
  </r>
  <r>
    <n v="2023"/>
    <n v="2"/>
    <n v="17215100000"/>
    <m/>
    <m/>
    <x v="231"/>
    <n v="30443221.93"/>
    <n v="112683367.42"/>
    <n v="188241000"/>
  </r>
  <r>
    <n v="2023"/>
    <n v="2"/>
    <n v="17215101001"/>
    <n v="1"/>
    <n v="1287"/>
    <x v="231"/>
    <n v="30443221.93"/>
    <n v="112683367.42"/>
    <n v="188241000"/>
  </r>
  <r>
    <n v="2023"/>
    <n v="2"/>
    <n v="17215200000"/>
    <m/>
    <m/>
    <x v="232"/>
    <n v="480694.16"/>
    <n v="1113383.58"/>
    <n v="9307000"/>
  </r>
  <r>
    <n v="2023"/>
    <n v="2"/>
    <n v="17215201001"/>
    <n v="1"/>
    <n v="1252"/>
    <x v="233"/>
    <n v="480694.16"/>
    <n v="1113383.58"/>
    <n v="9307000"/>
  </r>
  <r>
    <n v="2023"/>
    <n v="2"/>
    <n v="17215300000"/>
    <m/>
    <m/>
    <x v="234"/>
    <n v="0"/>
    <n v="1941.06"/>
    <n v="413000"/>
  </r>
  <r>
    <n v="2023"/>
    <n v="2"/>
    <n v="17215301001"/>
    <n v="1"/>
    <n v="1840"/>
    <x v="234"/>
    <n v="0"/>
    <n v="1941.06"/>
    <n v="413000"/>
  </r>
  <r>
    <n v="2023"/>
    <n v="2"/>
    <n v="17240000000"/>
    <m/>
    <m/>
    <x v="235"/>
    <n v="3602147.83"/>
    <n v="5539713.4900000002"/>
    <n v="36491000"/>
  </r>
  <r>
    <n v="2023"/>
    <n v="2"/>
    <n v="17245000000"/>
    <m/>
    <m/>
    <x v="236"/>
    <n v="761659.45"/>
    <n v="2699225.11"/>
    <n v="4196000"/>
  </r>
  <r>
    <n v="2023"/>
    <n v="2"/>
    <n v="17245001001"/>
    <n v="2"/>
    <n v="1414"/>
    <x v="237"/>
    <n v="761659.45"/>
    <n v="2699225.11"/>
    <n v="4196000"/>
  </r>
  <r>
    <n v="2023"/>
    <n v="2"/>
    <n v="17245100000"/>
    <m/>
    <m/>
    <x v="238"/>
    <n v="2840488.38"/>
    <n v="2840488.38"/>
    <n v="28160000"/>
  </r>
  <r>
    <n v="2023"/>
    <n v="2"/>
    <n v="17245101002"/>
    <n v="2"/>
    <n v="2907"/>
    <x v="239"/>
    <n v="2840488.38"/>
    <n v="2840488.38"/>
    <n v="28160000"/>
  </r>
  <r>
    <n v="2023"/>
    <n v="2"/>
    <n v="17249900000"/>
    <m/>
    <m/>
    <x v="240"/>
    <n v="0"/>
    <n v="0"/>
    <n v="4135000"/>
  </r>
  <r>
    <n v="2023"/>
    <n v="2"/>
    <n v="17249901002"/>
    <n v="2"/>
    <n v="1391"/>
    <x v="241"/>
    <n v="0"/>
    <n v="0"/>
    <n v="898000"/>
  </r>
  <r>
    <n v="2023"/>
    <n v="2"/>
    <n v="17249901003"/>
    <n v="2"/>
    <n v="2247"/>
    <x v="242"/>
    <n v="0"/>
    <n v="0"/>
    <n v="3237000"/>
  </r>
  <r>
    <n v="2023"/>
    <n v="2"/>
    <n v="17290000000"/>
    <m/>
    <m/>
    <x v="243"/>
    <n v="0"/>
    <n v="0"/>
    <n v="1700000"/>
  </r>
  <r>
    <n v="2023"/>
    <n v="2"/>
    <n v="17295100000"/>
    <m/>
    <m/>
    <x v="244"/>
    <n v="0"/>
    <n v="0"/>
    <n v="1700000"/>
  </r>
  <r>
    <n v="2023"/>
    <n v="2"/>
    <n v="17295101001"/>
    <n v="2"/>
    <n v="2311"/>
    <x v="245"/>
    <n v="0"/>
    <n v="0"/>
    <n v="1700000"/>
  </r>
  <r>
    <n v="2023"/>
    <n v="2"/>
    <n v="17400000000"/>
    <m/>
    <m/>
    <x v="246"/>
    <n v="0"/>
    <n v="0"/>
    <n v="44000"/>
  </r>
  <r>
    <n v="2023"/>
    <n v="2"/>
    <n v="17410000000"/>
    <m/>
    <m/>
    <x v="246"/>
    <n v="0"/>
    <n v="0"/>
    <n v="44000"/>
  </r>
  <r>
    <n v="2023"/>
    <n v="2"/>
    <n v="17415000000"/>
    <m/>
    <m/>
    <x v="247"/>
    <n v="0"/>
    <n v="0"/>
    <n v="44000"/>
  </r>
  <r>
    <n v="2023"/>
    <n v="2"/>
    <n v="17415001001"/>
    <n v="6"/>
    <n v="2611"/>
    <x v="248"/>
    <n v="0"/>
    <n v="0"/>
    <n v="44000"/>
  </r>
  <r>
    <n v="2023"/>
    <n v="2"/>
    <n v="17500000000"/>
    <m/>
    <m/>
    <x v="249"/>
    <n v="38514502.75"/>
    <n v="92917723.109999999"/>
    <n v="497739000"/>
  </r>
  <r>
    <n v="2023"/>
    <n v="2"/>
    <n v="17510000000"/>
    <m/>
    <m/>
    <x v="250"/>
    <n v="38514502.75"/>
    <n v="92917723.109999999"/>
    <n v="497739000"/>
  </r>
  <r>
    <n v="2023"/>
    <n v="2"/>
    <n v="17515000000"/>
    <m/>
    <m/>
    <x v="251"/>
    <n v="38514502.75"/>
    <n v="92917723.109999999"/>
    <n v="497739000"/>
  </r>
  <r>
    <n v="2023"/>
    <n v="2"/>
    <n v="17515001001"/>
    <n v="2"/>
    <n v="1321"/>
    <x v="252"/>
    <n v="4582336.3899999997"/>
    <n v="7985621.8200000003"/>
    <n v="39696000"/>
  </r>
  <r>
    <n v="2023"/>
    <n v="2"/>
    <n v="17515001002"/>
    <n v="2"/>
    <n v="1322"/>
    <x v="253"/>
    <n v="18395.45"/>
    <n v="46606.77"/>
    <n v="670000"/>
  </r>
  <r>
    <n v="2023"/>
    <n v="2"/>
    <n v="17515001004"/>
    <n v="2"/>
    <n v="1324"/>
    <x v="254"/>
    <n v="26331398.420000002"/>
    <n v="58182137.960000001"/>
    <n v="404069000"/>
  </r>
  <r>
    <n v="2023"/>
    <n v="2"/>
    <n v="17515001005"/>
    <n v="2"/>
    <n v="1325"/>
    <x v="255"/>
    <n v="122231.45"/>
    <n v="293635.14"/>
    <n v="2431000"/>
  </r>
  <r>
    <n v="2023"/>
    <n v="2"/>
    <n v="17515001006"/>
    <n v="2"/>
    <n v="1326"/>
    <x v="256"/>
    <n v="6183562.5599999996"/>
    <n v="23944230.449999999"/>
    <n v="41126000"/>
  </r>
  <r>
    <n v="2023"/>
    <n v="2"/>
    <n v="17515001007"/>
    <n v="2"/>
    <n v="1327"/>
    <x v="257"/>
    <n v="459233.11"/>
    <n v="954713.42"/>
    <n v="7220000"/>
  </r>
  <r>
    <n v="2023"/>
    <n v="2"/>
    <n v="17515001008"/>
    <n v="2"/>
    <n v="1328"/>
    <x v="258"/>
    <n v="319808.84000000003"/>
    <n v="560935.09"/>
    <n v="2527000"/>
  </r>
  <r>
    <n v="2023"/>
    <n v="2"/>
    <n v="17515001009"/>
    <n v="2"/>
    <n v="2017"/>
    <x v="259"/>
    <n v="497536.53"/>
    <n v="949842.46"/>
    <n v="0"/>
  </r>
  <r>
    <n v="2023"/>
    <n v="2"/>
    <n v="19000000000"/>
    <m/>
    <m/>
    <x v="260"/>
    <n v="11703207.970000001"/>
    <n v="20396944.379999999"/>
    <n v="94538000"/>
  </r>
  <r>
    <n v="2023"/>
    <n v="2"/>
    <n v="19100000000"/>
    <m/>
    <m/>
    <x v="261"/>
    <n v="3075429.34"/>
    <n v="7672071.4900000002"/>
    <n v="37952000"/>
  </r>
  <r>
    <n v="2023"/>
    <n v="2"/>
    <n v="19110000000"/>
    <m/>
    <m/>
    <x v="261"/>
    <n v="3075429.34"/>
    <n v="7672071.4900000002"/>
    <n v="37952000"/>
  </r>
  <r>
    <n v="2023"/>
    <n v="2"/>
    <n v="19110100000"/>
    <m/>
    <m/>
    <x v="262"/>
    <n v="224843.96"/>
    <n v="880691.31"/>
    <n v="4124000"/>
  </r>
  <r>
    <n v="2023"/>
    <n v="2"/>
    <n v="19110101000"/>
    <m/>
    <m/>
    <x v="263"/>
    <n v="203048.6"/>
    <n v="696134.27"/>
    <n v="4122000"/>
  </r>
  <r>
    <n v="2023"/>
    <n v="2"/>
    <n v="19110101004"/>
    <n v="1"/>
    <n v="2011"/>
    <x v="264"/>
    <n v="16034.15"/>
    <n v="57077.93"/>
    <n v="765000"/>
  </r>
  <r>
    <n v="2023"/>
    <n v="2"/>
    <n v="19110101005"/>
    <n v="6"/>
    <n v="2046"/>
    <x v="265"/>
    <n v="0"/>
    <n v="0"/>
    <n v="18000"/>
  </r>
  <r>
    <n v="2023"/>
    <n v="2"/>
    <n v="19110101006"/>
    <n v="6"/>
    <n v="2070"/>
    <x v="266"/>
    <n v="6326.24"/>
    <n v="18347.64"/>
    <n v="274000"/>
  </r>
  <r>
    <n v="2023"/>
    <n v="2"/>
    <n v="19110101008"/>
    <n v="6"/>
    <n v="2072"/>
    <x v="267"/>
    <n v="10008.9"/>
    <n v="17305.03"/>
    <n v="65000"/>
  </r>
  <r>
    <n v="2023"/>
    <n v="2"/>
    <n v="19110101009"/>
    <n v="3"/>
    <n v="1950"/>
    <x v="268"/>
    <n v="170679.31"/>
    <n v="603403.67000000004"/>
    <n v="3000000"/>
  </r>
  <r>
    <n v="2023"/>
    <n v="2"/>
    <n v="19110102000"/>
    <m/>
    <m/>
    <x v="269"/>
    <n v="1260.79"/>
    <n v="3696.26"/>
    <n v="0"/>
  </r>
  <r>
    <n v="2023"/>
    <n v="2"/>
    <n v="19110102001"/>
    <n v="3"/>
    <n v="2075"/>
    <x v="270"/>
    <n v="1260.79"/>
    <n v="3696.26"/>
    <n v="0"/>
  </r>
  <r>
    <n v="2023"/>
    <n v="2"/>
    <n v="19110103000"/>
    <m/>
    <m/>
    <x v="271"/>
    <n v="12378.33"/>
    <n v="84454.38"/>
    <n v="2000"/>
  </r>
  <r>
    <n v="2023"/>
    <n v="2"/>
    <n v="19110103003"/>
    <n v="1"/>
    <n v="2062"/>
    <x v="272"/>
    <n v="44.67"/>
    <n v="119.83"/>
    <n v="2000"/>
  </r>
  <r>
    <n v="2023"/>
    <n v="2"/>
    <n v="19110103004"/>
    <n v="3"/>
    <n v="2074"/>
    <x v="273"/>
    <n v="12333.66"/>
    <n v="84334.55"/>
    <n v="0"/>
  </r>
  <r>
    <n v="2023"/>
    <n v="2"/>
    <n v="19110104000"/>
    <m/>
    <m/>
    <x v="274"/>
    <n v="8156.24"/>
    <n v="96406.399999999994"/>
    <n v="0"/>
  </r>
  <r>
    <n v="2023"/>
    <n v="2"/>
    <n v="19110104001"/>
    <n v="3"/>
    <n v="2073"/>
    <x v="275"/>
    <n v="8156.24"/>
    <n v="96406.399999999994"/>
    <n v="0"/>
  </r>
  <r>
    <n v="2023"/>
    <n v="2"/>
    <n v="19111400000"/>
    <m/>
    <m/>
    <x v="276"/>
    <n v="2850585.38"/>
    <n v="6791380.1799999997"/>
    <n v="33828000"/>
  </r>
  <r>
    <n v="2023"/>
    <n v="2"/>
    <n v="19111401001"/>
    <n v="3"/>
    <n v="2127"/>
    <x v="277"/>
    <n v="2850585.38"/>
    <n v="6791380.1799999997"/>
    <n v="31980000"/>
  </r>
  <r>
    <n v="2023"/>
    <n v="2"/>
    <n v="19111401003"/>
    <n v="3"/>
    <n v="2128"/>
    <x v="278"/>
    <n v="0"/>
    <n v="0"/>
    <n v="1845000"/>
  </r>
  <r>
    <n v="2023"/>
    <n v="2"/>
    <n v="19111404001"/>
    <n v="3"/>
    <n v="2760"/>
    <x v="279"/>
    <n v="0"/>
    <n v="0"/>
    <n v="2000"/>
  </r>
  <r>
    <n v="2023"/>
    <n v="2"/>
    <n v="19111404002"/>
    <n v="3"/>
    <n v="2770"/>
    <x v="280"/>
    <n v="0"/>
    <n v="0"/>
    <n v="1000"/>
  </r>
  <r>
    <n v="2023"/>
    <n v="2"/>
    <n v="19200000000"/>
    <m/>
    <m/>
    <x v="281"/>
    <n v="939575.53"/>
    <n v="1101960.44"/>
    <n v="68000"/>
  </r>
  <r>
    <n v="2023"/>
    <n v="2"/>
    <n v="19210000000"/>
    <m/>
    <m/>
    <x v="282"/>
    <n v="7473.75"/>
    <n v="8549.51"/>
    <n v="68000"/>
  </r>
  <r>
    <n v="2023"/>
    <n v="2"/>
    <n v="19219900000"/>
    <m/>
    <m/>
    <x v="283"/>
    <n v="7473.75"/>
    <n v="8549.51"/>
    <n v="68000"/>
  </r>
  <r>
    <n v="2023"/>
    <n v="2"/>
    <n v="19219901001"/>
    <n v="1"/>
    <n v="2171"/>
    <x v="282"/>
    <n v="7473.75"/>
    <n v="8549.51"/>
    <n v="68000"/>
  </r>
  <r>
    <n v="2023"/>
    <n v="2"/>
    <n v="19220000000"/>
    <m/>
    <m/>
    <x v="284"/>
    <n v="932101.78"/>
    <n v="1093410.93"/>
    <n v="0"/>
  </r>
  <r>
    <n v="2023"/>
    <n v="2"/>
    <n v="19220600000"/>
    <m/>
    <m/>
    <x v="285"/>
    <n v="932101.78"/>
    <n v="1093410.93"/>
    <n v="0"/>
  </r>
  <r>
    <n v="2023"/>
    <n v="2"/>
    <n v="19220630000"/>
    <m/>
    <m/>
    <x v="286"/>
    <n v="932101.78"/>
    <n v="1093410.93"/>
    <n v="0"/>
  </r>
  <r>
    <n v="2023"/>
    <n v="2"/>
    <n v="19220631001"/>
    <n v="1"/>
    <n v="2170"/>
    <x v="285"/>
    <n v="932101.78"/>
    <n v="1093410.93"/>
    <n v="0"/>
  </r>
  <r>
    <n v="2023"/>
    <n v="2"/>
    <n v="19900000000"/>
    <m/>
    <m/>
    <x v="287"/>
    <n v="7688203.0999999996"/>
    <n v="11622912.449999999"/>
    <n v="56518000"/>
  </r>
  <r>
    <n v="2023"/>
    <n v="2"/>
    <n v="19990000000"/>
    <m/>
    <m/>
    <x v="260"/>
    <n v="7688203.0999999996"/>
    <n v="11622912.449999999"/>
    <n v="56518000"/>
  </r>
  <r>
    <n v="2023"/>
    <n v="2"/>
    <n v="19999900000"/>
    <m/>
    <m/>
    <x v="288"/>
    <n v="7688203.0999999996"/>
    <n v="11622912.449999999"/>
    <n v="56518000"/>
  </r>
  <r>
    <n v="2023"/>
    <n v="2"/>
    <n v="19999920000"/>
    <m/>
    <m/>
    <x v="289"/>
    <n v="7688203.0999999996"/>
    <n v="11622912.449999999"/>
    <n v="56518000"/>
  </r>
  <r>
    <n v="2023"/>
    <n v="2"/>
    <n v="19999921001"/>
    <n v="3"/>
    <n v="2194"/>
    <x v="290"/>
    <n v="0"/>
    <n v="0"/>
    <n v="2000"/>
  </r>
  <r>
    <n v="2023"/>
    <n v="2"/>
    <n v="19999921002"/>
    <n v="3"/>
    <n v="2135"/>
    <x v="291"/>
    <n v="3009171.1"/>
    <n v="3081633.75"/>
    <n v="11745000"/>
  </r>
  <r>
    <n v="2023"/>
    <n v="2"/>
    <n v="19999921003"/>
    <n v="3"/>
    <n v="1580"/>
    <x v="292"/>
    <n v="0"/>
    <n v="0"/>
    <n v="1000"/>
  </r>
  <r>
    <n v="2023"/>
    <n v="2"/>
    <n v="19999921004"/>
    <n v="1"/>
    <n v="2089"/>
    <x v="293"/>
    <n v="1739284.24"/>
    <n v="1839430.02"/>
    <n v="1626000"/>
  </r>
  <r>
    <n v="2023"/>
    <n v="2"/>
    <n v="19999921005"/>
    <n v="1"/>
    <n v="2097"/>
    <x v="294"/>
    <n v="0"/>
    <n v="0"/>
    <n v="4000"/>
  </r>
  <r>
    <n v="2023"/>
    <n v="2"/>
    <n v="19999921006"/>
    <n v="3"/>
    <n v="2160"/>
    <x v="295"/>
    <n v="197820.57"/>
    <n v="391657.3"/>
    <n v="2016000"/>
  </r>
  <r>
    <n v="2023"/>
    <n v="2"/>
    <n v="19999921007"/>
    <n v="3"/>
    <n v="2970"/>
    <x v="296"/>
    <n v="0"/>
    <n v="0"/>
    <n v="1000"/>
  </r>
  <r>
    <n v="2023"/>
    <n v="2"/>
    <n v="19999921008"/>
    <n v="3"/>
    <n v="1520"/>
    <x v="297"/>
    <n v="0"/>
    <n v="0"/>
    <n v="1000"/>
  </r>
  <r>
    <n v="2023"/>
    <n v="2"/>
    <n v="19999921009"/>
    <n v="1"/>
    <n v="2208"/>
    <x v="298"/>
    <n v="1316479.56"/>
    <n v="1316479.56"/>
    <n v="13860000"/>
  </r>
  <r>
    <n v="2023"/>
    <n v="2"/>
    <n v="19999921010"/>
    <n v="3"/>
    <n v="2348"/>
    <x v="299"/>
    <n v="56841.91"/>
    <n v="97347.77"/>
    <n v="254000"/>
  </r>
  <r>
    <n v="2023"/>
    <n v="2"/>
    <n v="19999921011"/>
    <n v="3"/>
    <n v="2350"/>
    <x v="300"/>
    <n v="0"/>
    <n v="0"/>
    <n v="1000"/>
  </r>
  <r>
    <n v="2023"/>
    <n v="2"/>
    <n v="19999921012"/>
    <n v="3"/>
    <n v="2987"/>
    <x v="301"/>
    <n v="485"/>
    <n v="970"/>
    <n v="1470000"/>
  </r>
  <r>
    <n v="2023"/>
    <n v="2"/>
    <n v="19999921013"/>
    <n v="3"/>
    <n v="2988"/>
    <x v="302"/>
    <n v="0"/>
    <n v="0"/>
    <n v="720000"/>
  </r>
  <r>
    <n v="2023"/>
    <n v="2"/>
    <n v="19999921014"/>
    <n v="3"/>
    <n v="2989"/>
    <x v="303"/>
    <n v="263105.46999999997"/>
    <n v="382779.83"/>
    <n v="901000"/>
  </r>
  <r>
    <n v="2023"/>
    <n v="2"/>
    <n v="19999921018"/>
    <n v="3"/>
    <n v="2967"/>
    <x v="304"/>
    <n v="108189.63"/>
    <n v="232706.17"/>
    <n v="1176000"/>
  </r>
  <r>
    <n v="2023"/>
    <n v="2"/>
    <n v="19999921019"/>
    <n v="3"/>
    <n v="2891"/>
    <x v="305"/>
    <n v="0"/>
    <n v="0"/>
    <n v="6000"/>
  </r>
  <r>
    <n v="2023"/>
    <n v="2"/>
    <n v="19999921020"/>
    <n v="1"/>
    <n v="2605"/>
    <x v="306"/>
    <n v="27212.93"/>
    <n v="34740.54"/>
    <n v="26000"/>
  </r>
  <r>
    <n v="2023"/>
    <n v="2"/>
    <n v="19999921021"/>
    <n v="3"/>
    <n v="2892"/>
    <x v="307"/>
    <n v="119754.55"/>
    <n v="2155683.0099999998"/>
    <n v="6314000"/>
  </r>
  <r>
    <n v="2023"/>
    <n v="2"/>
    <n v="19999921023"/>
    <n v="6"/>
    <n v="2720"/>
    <x v="308"/>
    <n v="7560"/>
    <n v="15120"/>
    <n v="123000"/>
  </r>
  <r>
    <n v="2023"/>
    <n v="2"/>
    <n v="19999921032"/>
    <n v="3"/>
    <n v="2893"/>
    <x v="309"/>
    <n v="6164.52"/>
    <n v="14007.54"/>
    <n v="2828000"/>
  </r>
  <r>
    <n v="2023"/>
    <n v="2"/>
    <n v="19999923001"/>
    <n v="1"/>
    <n v="2461"/>
    <x v="310"/>
    <n v="397611.37"/>
    <n v="1116442.18"/>
    <n v="6805000"/>
  </r>
  <r>
    <n v="2023"/>
    <n v="2"/>
    <n v="19999924001"/>
    <n v="1"/>
    <n v="1690"/>
    <x v="311"/>
    <n v="438522.25"/>
    <n v="943914.78"/>
    <n v="6638000"/>
  </r>
  <r>
    <n v="2023"/>
    <n v="2"/>
    <n v="20000000000"/>
    <m/>
    <m/>
    <x v="312"/>
    <n v="319176.90999999997"/>
    <n v="1479865.61"/>
    <n v="15054000"/>
  </r>
  <r>
    <n v="2023"/>
    <n v="2"/>
    <n v="24000000000"/>
    <m/>
    <m/>
    <x v="313"/>
    <n v="319176.90999999997"/>
    <n v="1479865.61"/>
    <n v="15054000"/>
  </r>
  <r>
    <n v="2023"/>
    <n v="2"/>
    <n v="24200000000"/>
    <m/>
    <m/>
    <x v="228"/>
    <n v="0"/>
    <n v="0"/>
    <n v="5522000"/>
  </r>
  <r>
    <n v="2023"/>
    <n v="2"/>
    <n v="24220000000"/>
    <m/>
    <m/>
    <x v="314"/>
    <n v="0"/>
    <n v="0"/>
    <n v="5522000"/>
  </r>
  <r>
    <n v="2023"/>
    <n v="2"/>
    <n v="24229900000"/>
    <m/>
    <m/>
    <x v="240"/>
    <n v="0"/>
    <n v="0"/>
    <n v="5522000"/>
  </r>
  <r>
    <n v="2023"/>
    <n v="2"/>
    <n v="24229901004"/>
    <n v="2"/>
    <n v="2118"/>
    <x v="315"/>
    <n v="0"/>
    <n v="0"/>
    <n v="5522000"/>
  </r>
  <r>
    <n v="2023"/>
    <n v="2"/>
    <n v="24400000000"/>
    <m/>
    <m/>
    <x v="246"/>
    <n v="319176.90999999997"/>
    <n v="1479865.61"/>
    <n v="9532000"/>
  </r>
  <r>
    <n v="2023"/>
    <n v="2"/>
    <n v="24410000000"/>
    <m/>
    <m/>
    <x v="246"/>
    <n v="319176.90999999997"/>
    <n v="1479865.61"/>
    <n v="9532000"/>
  </r>
  <r>
    <n v="2023"/>
    <n v="2"/>
    <n v="24419900000"/>
    <m/>
    <m/>
    <x v="316"/>
    <n v="319176.90999999997"/>
    <n v="1479865.61"/>
    <n v="9532000"/>
  </r>
  <r>
    <n v="2023"/>
    <n v="2"/>
    <n v="24419901003"/>
    <n v="6"/>
    <n v="2612"/>
    <x v="317"/>
    <n v="0"/>
    <n v="0"/>
    <n v="6648000"/>
  </r>
  <r>
    <n v="2023"/>
    <n v="2"/>
    <n v="24419901006"/>
    <n v="3"/>
    <n v="2622"/>
    <x v="318"/>
    <n v="319176.90999999997"/>
    <n v="519683.35"/>
    <n v="2040000"/>
  </r>
  <r>
    <n v="2023"/>
    <n v="2"/>
    <n v="24419901007"/>
    <n v="6"/>
    <n v="2628"/>
    <x v="319"/>
    <n v="0"/>
    <n v="960182.26"/>
    <n v="844000"/>
  </r>
  <r>
    <n v="2023"/>
    <n v="2"/>
    <n v="900000000000"/>
    <m/>
    <m/>
    <x v="320"/>
    <n v="-26526717.260000002"/>
    <n v="-68733989.629999995"/>
    <n v="-334627000"/>
  </r>
  <r>
    <n v="2023"/>
    <n v="2"/>
    <n v="910000000000"/>
    <m/>
    <m/>
    <x v="321"/>
    <n v="-26526717.260000002"/>
    <n v="-68733989.629999995"/>
    <n v="-334627000"/>
  </r>
  <r>
    <n v="2023"/>
    <n v="2"/>
    <n v="917000000000"/>
    <m/>
    <m/>
    <x v="322"/>
    <n v="-26526717.260000002"/>
    <n v="-68733989.629999995"/>
    <n v="-334627000"/>
  </r>
  <r>
    <n v="2023"/>
    <n v="2"/>
    <n v="917100000000"/>
    <m/>
    <m/>
    <x v="323"/>
    <n v="-2677918.04"/>
    <n v="-4678541.3"/>
    <n v="-22585000"/>
  </r>
  <r>
    <n v="2023"/>
    <n v="2"/>
    <n v="917115111001"/>
    <n v="1"/>
    <n v="2640"/>
    <x v="324"/>
    <n v="-2676813.64"/>
    <n v="-4676747.29"/>
    <n v="-22527000"/>
  </r>
  <r>
    <n v="2023"/>
    <n v="2"/>
    <n v="917115201001"/>
    <n v="1"/>
    <n v="2710"/>
    <x v="325"/>
    <n v="-1104.4000000000001"/>
    <n v="-1794.01"/>
    <n v="-58000"/>
  </r>
  <r>
    <n v="2023"/>
    <n v="2"/>
    <n v="917200000000"/>
    <m/>
    <m/>
    <x v="326"/>
    <n v="-23848799.219999999"/>
    <n v="-64055448.329999998"/>
    <n v="-312042000"/>
  </r>
  <r>
    <n v="2023"/>
    <n v="2"/>
    <n v="917215001001"/>
    <n v="1"/>
    <n v="2650"/>
    <x v="327"/>
    <n v="-17664015.75"/>
    <n v="-41296097.770000003"/>
    <n v="-272533000"/>
  </r>
  <r>
    <n v="2023"/>
    <n v="2"/>
    <n v="917215101001"/>
    <n v="1"/>
    <n v="2711"/>
    <x v="328"/>
    <n v="-6088644.6299999999"/>
    <n v="-22536673.829999998"/>
    <n v="-37648000"/>
  </r>
  <r>
    <n v="2023"/>
    <n v="2"/>
    <n v="917215201001"/>
    <n v="1"/>
    <n v="2399"/>
    <x v="329"/>
    <n v="-96138.84"/>
    <n v="-222676.73"/>
    <n v="-1861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6145D3-40B1-47B7-A75C-68A334126E74}" name="Tabela dinâ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C4" firstHeaderRow="0" firstDataRow="1" firstDataCol="0" rowPageCount="1" colPageCount="1"/>
  <pivotFields count="9">
    <pivotField showAll="0"/>
    <pivotField showAll="0"/>
    <pivotField showAll="0"/>
    <pivotField showAll="0"/>
    <pivotField showAll="0"/>
    <pivotField axis="axisPage" multipleItemSelectionAllowed="1" showAll="0">
      <items count="331">
        <item h="1" x="58"/>
        <item h="1" x="57"/>
        <item x="56"/>
        <item h="1" x="308"/>
        <item h="1" x="319"/>
        <item x="227"/>
        <item x="63"/>
        <item h="1" x="61"/>
        <item h="1" x="298"/>
        <item h="1" x="46"/>
        <item h="1" x="47"/>
        <item h="1" x="49"/>
        <item h="1" x="48"/>
        <item h="1" x="51"/>
        <item h="1" x="53"/>
        <item h="1" x="52"/>
        <item h="1" x="50"/>
        <item h="1" x="242"/>
        <item h="1" x="248"/>
        <item h="1" x="317"/>
        <item h="1" x="315"/>
        <item h="1" x="239"/>
        <item h="1" x="182"/>
        <item h="1" x="184"/>
        <item h="1" x="181"/>
        <item h="1" x="183"/>
        <item h="1" x="185"/>
        <item h="1" x="186"/>
        <item h="1" x="234"/>
        <item h="1" x="175"/>
        <item h="1" x="177"/>
        <item h="1" x="174"/>
        <item h="1" x="176"/>
        <item h="1" x="172"/>
        <item h="1" x="173"/>
        <item h="1" x="171"/>
        <item h="1" x="190"/>
        <item h="1" x="191"/>
        <item h="1" x="230"/>
        <item h="1" x="178"/>
        <item h="1" x="179"/>
        <item h="1" x="233"/>
        <item h="1" x="232"/>
        <item h="1" x="231"/>
        <item h="1" x="188"/>
        <item h="1" x="187"/>
        <item h="1" x="189"/>
        <item h="1" x="321"/>
        <item h="1" x="322"/>
        <item h="1" x="320"/>
        <item h="1" x="324"/>
        <item h="1" x="327"/>
        <item h="1" x="329"/>
        <item h="1" x="328"/>
        <item h="1" x="325"/>
        <item h="1" x="323"/>
        <item h="1" x="326"/>
        <item h="1" x="287"/>
        <item h="1" x="279"/>
        <item h="1" x="280"/>
        <item h="1" x="294"/>
        <item h="1" x="293"/>
        <item h="1" x="275"/>
        <item h="1" x="273"/>
        <item h="1" x="272"/>
        <item h="1" x="310"/>
        <item h="1" x="166"/>
        <item h="1" x="167"/>
        <item h="1" x="306"/>
        <item h="1" x="55"/>
        <item h="1" x="225"/>
        <item h="1" x="59"/>
        <item h="1" x="60"/>
        <item h="1" x="258"/>
        <item h="1" x="252"/>
        <item h="1" x="254"/>
        <item h="1" x="255"/>
        <item h="1" x="256"/>
        <item h="1" x="257"/>
        <item h="1" x="253"/>
        <item h="1" x="259"/>
        <item h="1" x="291"/>
        <item h="1" x="245"/>
        <item h="1" x="241"/>
        <item h="1" x="297"/>
        <item h="1" x="290"/>
        <item h="1" x="303"/>
        <item h="1" x="307"/>
        <item h="1" x="299"/>
        <item h="1" x="300"/>
        <item h="1" x="302"/>
        <item h="1" x="305"/>
        <item h="1" x="304"/>
        <item h="1" x="292"/>
        <item h="1" x="301"/>
        <item h="1" x="309"/>
        <item h="1" x="296"/>
        <item h="1" x="4"/>
        <item h="1" x="8"/>
        <item h="1" x="9"/>
        <item h="1" x="7"/>
        <item h="1" x="5"/>
        <item h="1" x="6"/>
        <item h="1" x="14"/>
        <item h="1" x="15"/>
        <item h="1" x="17"/>
        <item h="1" x="16"/>
        <item h="1" x="26"/>
        <item h="1" x="27"/>
        <item h="1" x="20"/>
        <item h="1" x="22"/>
        <item h="1" x="25"/>
        <item h="1" x="21"/>
        <item h="1" x="24"/>
        <item h="1" x="23"/>
        <item h="1" x="12"/>
        <item h="1" x="11"/>
        <item h="1" x="2"/>
        <item h="1" x="18"/>
        <item h="1" x="13"/>
        <item h="1" x="3"/>
        <item h="1" x="19"/>
        <item h="1" x="10"/>
        <item x="1"/>
        <item x="282"/>
        <item h="1" x="281"/>
        <item x="109"/>
        <item x="128"/>
        <item h="1" x="70"/>
        <item h="1" x="164"/>
        <item h="1" x="120"/>
        <item h="1" x="96"/>
        <item h="1" x="123"/>
        <item h="1" x="137"/>
        <item h="1" x="163"/>
        <item h="1" x="165"/>
        <item h="1" x="121"/>
        <item h="1" x="152"/>
        <item h="1" x="76"/>
        <item h="1" x="78"/>
        <item h="1" x="90"/>
        <item h="1" x="112"/>
        <item h="1" x="161"/>
        <item h="1" x="114"/>
        <item h="1" x="118"/>
        <item h="1" x="159"/>
        <item h="1" x="136"/>
        <item h="1" x="143"/>
        <item h="1" x="86"/>
        <item h="1" x="149"/>
        <item h="1" x="145"/>
        <item h="1" x="141"/>
        <item h="1" x="158"/>
        <item h="1" x="140"/>
        <item h="1" x="155"/>
        <item h="1" x="162"/>
        <item h="1" x="87"/>
        <item h="1" x="82"/>
        <item h="1" x="108"/>
        <item h="1" x="117"/>
        <item h="1" x="157"/>
        <item h="1" x="160"/>
        <item h="1" x="130"/>
        <item h="1" x="131"/>
        <item h="1" x="146"/>
        <item h="1" x="122"/>
        <item h="1" x="148"/>
        <item h="1" x="119"/>
        <item h="1" x="144"/>
        <item h="1" x="129"/>
        <item h="1" x="92"/>
        <item h="1" x="67"/>
        <item h="1" x="81"/>
        <item h="1" x="88"/>
        <item h="1" x="84"/>
        <item h="1" x="93"/>
        <item h="1" x="115"/>
        <item h="1" x="95"/>
        <item h="1" x="68"/>
        <item h="1" x="94"/>
        <item h="1" x="111"/>
        <item h="1" x="102"/>
        <item h="1" x="100"/>
        <item h="1" x="103"/>
        <item h="1" x="142"/>
        <item h="1" x="77"/>
        <item h="1" x="101"/>
        <item h="1" x="72"/>
        <item h="1" x="91"/>
        <item h="1" x="99"/>
        <item h="1" x="139"/>
        <item h="1" x="151"/>
        <item h="1" x="105"/>
        <item h="1" x="79"/>
        <item h="1" x="113"/>
        <item h="1" x="153"/>
        <item h="1" x="138"/>
        <item h="1" x="150"/>
        <item h="1" x="134"/>
        <item h="1" x="132"/>
        <item h="1" x="98"/>
        <item h="1" x="83"/>
        <item h="1" x="75"/>
        <item h="1" x="97"/>
        <item h="1" x="156"/>
        <item h="1" x="154"/>
        <item h="1" x="106"/>
        <item h="1" x="147"/>
        <item h="1" x="135"/>
        <item h="1" x="133"/>
        <item h="1" x="124"/>
        <item h="1" x="89"/>
        <item h="1" x="107"/>
        <item h="1" x="74"/>
        <item h="1" x="85"/>
        <item h="1" x="73"/>
        <item h="1" x="110"/>
        <item h="1" x="69"/>
        <item h="1" x="71"/>
        <item h="1" x="125"/>
        <item h="1" x="127"/>
        <item h="1" x="126"/>
        <item h="1" x="104"/>
        <item h="1" x="116"/>
        <item h="1" x="80"/>
        <item h="1" x="270"/>
        <item h="1" x="65"/>
        <item h="1" x="221"/>
        <item h="1" x="261"/>
        <item h="1" x="311"/>
        <item h="1" x="267"/>
        <item h="1" x="265"/>
        <item h="1" x="268"/>
        <item h="1" x="264"/>
        <item h="1" x="266"/>
        <item h="1" x="262"/>
        <item h="1" x="271"/>
        <item h="1" x="269"/>
        <item h="1" x="263"/>
        <item h="1" x="274"/>
        <item h="1" x="278"/>
        <item h="1" x="277"/>
        <item h="1" x="276"/>
        <item h="1" x="283"/>
        <item h="1" x="288"/>
        <item h="1" x="260"/>
        <item h="1" x="289"/>
        <item h="1" x="240"/>
        <item h="1" x="316"/>
        <item h="1" x="223"/>
        <item h="1" x="243"/>
        <item h="1" x="229"/>
        <item h="1" x="318"/>
        <item h="1" x="220"/>
        <item h="1" x="224"/>
        <item h="1" x="210"/>
        <item h="1" x="211"/>
        <item h="1" x="213"/>
        <item h="1" x="212"/>
        <item h="1" x="214"/>
        <item h="1" x="209"/>
        <item h="1" x="216"/>
        <item h="1" x="62"/>
        <item h="1" x="54"/>
        <item h="1" x="0"/>
        <item h="1" x="312"/>
        <item h="1" x="66"/>
        <item h="1" x="285"/>
        <item h="1" x="286"/>
        <item h="1" x="284"/>
        <item h="1" x="204"/>
        <item h="1" x="196"/>
        <item h="1" x="198"/>
        <item h="1" x="237"/>
        <item h="1" x="195"/>
        <item h="1" x="202"/>
        <item h="1" x="201"/>
        <item h="1" x="200"/>
        <item h="1" x="35"/>
        <item h="1" x="44"/>
        <item h="1" x="42"/>
        <item h="1" x="38"/>
        <item h="1" x="43"/>
        <item h="1" x="40"/>
        <item h="1" x="32"/>
        <item h="1" x="34"/>
        <item h="1" x="36"/>
        <item h="1" x="31"/>
        <item h="1" x="33"/>
        <item h="1" x="45"/>
        <item h="1" x="37"/>
        <item h="1" x="28"/>
        <item h="1" x="30"/>
        <item h="1" x="39"/>
        <item h="1" x="41"/>
        <item h="1" x="29"/>
        <item h="1" x="207"/>
        <item h="1" x="226"/>
        <item h="1" x="168"/>
        <item h="1" x="169"/>
        <item h="1" x="180"/>
        <item h="1" x="313"/>
        <item h="1" x="222"/>
        <item h="1" x="247"/>
        <item h="1" x="238"/>
        <item h="1" x="235"/>
        <item h="1" x="314"/>
        <item h="1" x="236"/>
        <item h="1" x="244"/>
        <item h="1" x="246"/>
        <item h="1" x="249"/>
        <item h="1" x="203"/>
        <item h="1" x="197"/>
        <item h="1" x="194"/>
        <item h="1" x="199"/>
        <item h="1" x="250"/>
        <item h="1" x="251"/>
        <item h="1" x="219"/>
        <item h="1" x="218"/>
        <item h="1" x="217"/>
        <item h="1" x="205"/>
        <item h="1" x="193"/>
        <item h="1" x="192"/>
        <item h="1" x="170"/>
        <item h="1" x="206"/>
        <item h="1" x="228"/>
        <item h="1" x="208"/>
        <item h="1" x="215"/>
        <item h="1" x="64"/>
        <item h="1" x="295"/>
        <item t="default"/>
      </items>
    </pivotField>
    <pivotField dataField="1" showAll="0"/>
    <pivotField dataField="1"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5" hier="-1"/>
  </pageFields>
  <dataFields count="3">
    <dataField name="Soma de Receita Mês (R$)" fld="6" baseField="0" baseItem="0"/>
    <dataField name="Soma de Receita Ano (R$)" fld="7" baseField="0" baseItem="0"/>
    <dataField name="Soma de Receita Orçada (R$)" fld="8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D3D9-2999-4FF3-9E76-04388DFD8255}">
  <sheetPr codeName="Planilha1"/>
  <dimension ref="A1:C4"/>
  <sheetViews>
    <sheetView workbookViewId="0">
      <selection activeCell="C16" sqref="C16"/>
    </sheetView>
  </sheetViews>
  <sheetFormatPr defaultRowHeight="15" x14ac:dyDescent="0.25"/>
  <cols>
    <col min="1" max="1" width="24.28515625" bestFit="1" customWidth="1"/>
    <col min="2" max="2" width="24" bestFit="1" customWidth="1"/>
    <col min="3" max="3" width="26.7109375" bestFit="1" customWidth="1"/>
  </cols>
  <sheetData>
    <row r="1" spans="1:3" x14ac:dyDescent="0.25">
      <c r="A1" s="2" t="s">
        <v>5</v>
      </c>
      <c r="B1" t="s">
        <v>348</v>
      </c>
    </row>
    <row r="3" spans="1:3" x14ac:dyDescent="0.25">
      <c r="A3" t="s">
        <v>345</v>
      </c>
      <c r="B3" t="s">
        <v>346</v>
      </c>
      <c r="C3" t="s">
        <v>347</v>
      </c>
    </row>
    <row r="4" spans="1:3" x14ac:dyDescent="0.25">
      <c r="A4" s="3">
        <v>223668638.32999998</v>
      </c>
      <c r="B4" s="3">
        <v>321950083.25999993</v>
      </c>
      <c r="C4" s="3">
        <v>1173895000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I351"/>
  <sheetViews>
    <sheetView topLeftCell="F38" workbookViewId="0">
      <selection activeCell="F46" sqref="F46"/>
    </sheetView>
  </sheetViews>
  <sheetFormatPr defaultRowHeight="15" x14ac:dyDescent="0.25"/>
  <cols>
    <col min="1" max="1" width="5" bestFit="1" customWidth="1"/>
    <col min="2" max="2" width="4.7109375" bestFit="1" customWidth="1"/>
    <col min="3" max="3" width="12.140625" bestFit="1" customWidth="1"/>
    <col min="4" max="4" width="6.140625" bestFit="1" customWidth="1"/>
    <col min="5" max="5" width="7.5703125" bestFit="1" customWidth="1"/>
    <col min="6" max="6" width="159.7109375" bestFit="1" customWidth="1"/>
    <col min="7" max="7" width="15.85546875" bestFit="1" customWidth="1"/>
    <col min="8" max="8" width="15.7109375" bestFit="1" customWidth="1"/>
    <col min="9" max="9" width="18.42578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2023</v>
      </c>
      <c r="B2">
        <v>2</v>
      </c>
      <c r="C2">
        <v>10000000000</v>
      </c>
      <c r="F2" t="s">
        <v>9</v>
      </c>
      <c r="G2" s="1">
        <v>439567795.35000002</v>
      </c>
      <c r="H2" s="1">
        <v>845442567.95000005</v>
      </c>
      <c r="I2" s="1">
        <v>3826715000</v>
      </c>
    </row>
    <row r="3" spans="1:9" x14ac:dyDescent="0.25">
      <c r="A3">
        <v>2023</v>
      </c>
      <c r="B3">
        <v>2</v>
      </c>
      <c r="C3">
        <v>11000000000</v>
      </c>
      <c r="F3" t="s">
        <v>10</v>
      </c>
      <c r="G3" s="1">
        <v>223040529.15000001</v>
      </c>
      <c r="H3" s="1">
        <v>320792644.68000001</v>
      </c>
      <c r="I3" s="1">
        <v>1166694000</v>
      </c>
    </row>
    <row r="4" spans="1:9" x14ac:dyDescent="0.25">
      <c r="A4">
        <v>2023</v>
      </c>
      <c r="B4">
        <v>2</v>
      </c>
      <c r="C4">
        <v>11100000000</v>
      </c>
      <c r="F4" t="s">
        <v>11</v>
      </c>
      <c r="G4" s="1">
        <v>211200971.33000001</v>
      </c>
      <c r="H4" s="1">
        <v>306148535.18000001</v>
      </c>
      <c r="I4" s="1">
        <v>1126521000</v>
      </c>
    </row>
    <row r="5" spans="1:9" x14ac:dyDescent="0.25">
      <c r="A5">
        <v>2023</v>
      </c>
      <c r="B5">
        <v>2</v>
      </c>
      <c r="C5">
        <v>11120000000</v>
      </c>
      <c r="F5" t="s">
        <v>12</v>
      </c>
      <c r="G5" s="1">
        <v>160836002.68000001</v>
      </c>
      <c r="H5" s="1">
        <v>188491874.78</v>
      </c>
      <c r="I5" s="1">
        <v>479469000</v>
      </c>
    </row>
    <row r="6" spans="1:9" x14ac:dyDescent="0.25">
      <c r="A6">
        <v>2023</v>
      </c>
      <c r="B6">
        <v>2</v>
      </c>
      <c r="C6">
        <v>11125000000</v>
      </c>
      <c r="F6" t="s">
        <v>13</v>
      </c>
      <c r="G6" s="1">
        <v>156100633.22999999</v>
      </c>
      <c r="H6" s="1">
        <v>177696035.46000001</v>
      </c>
      <c r="I6" s="1">
        <v>387388000</v>
      </c>
    </row>
    <row r="7" spans="1:9" x14ac:dyDescent="0.25">
      <c r="A7">
        <v>2023</v>
      </c>
      <c r="B7">
        <v>2</v>
      </c>
      <c r="C7">
        <v>11125001001</v>
      </c>
      <c r="D7">
        <v>1</v>
      </c>
      <c r="E7">
        <v>19</v>
      </c>
      <c r="F7" t="s">
        <v>14</v>
      </c>
      <c r="G7" s="1">
        <v>108761963.06</v>
      </c>
      <c r="H7" s="1">
        <v>121068999.31</v>
      </c>
      <c r="I7" s="1">
        <v>238207000</v>
      </c>
    </row>
    <row r="8" spans="1:9" x14ac:dyDescent="0.25">
      <c r="A8">
        <v>2023</v>
      </c>
      <c r="B8">
        <v>2</v>
      </c>
      <c r="C8">
        <v>11125001002</v>
      </c>
      <c r="D8">
        <v>1</v>
      </c>
      <c r="E8">
        <v>27</v>
      </c>
      <c r="F8" t="s">
        <v>15</v>
      </c>
      <c r="G8" s="1">
        <v>42354621.420000002</v>
      </c>
      <c r="H8" s="1">
        <v>45260524.340000004</v>
      </c>
      <c r="I8" s="1">
        <v>86656000</v>
      </c>
    </row>
    <row r="9" spans="1:9" x14ac:dyDescent="0.25">
      <c r="A9">
        <v>2023</v>
      </c>
      <c r="B9">
        <v>2</v>
      </c>
      <c r="C9">
        <v>11125002001</v>
      </c>
      <c r="D9">
        <v>1</v>
      </c>
      <c r="E9">
        <v>1620</v>
      </c>
      <c r="F9" t="s">
        <v>16</v>
      </c>
      <c r="G9" s="1">
        <v>970417.29</v>
      </c>
      <c r="H9" s="1">
        <v>1020064.04</v>
      </c>
      <c r="I9" s="1">
        <v>1502000</v>
      </c>
    </row>
    <row r="10" spans="1:9" x14ac:dyDescent="0.25">
      <c r="A10">
        <v>2023</v>
      </c>
      <c r="B10">
        <v>2</v>
      </c>
      <c r="C10">
        <v>11125003001</v>
      </c>
      <c r="D10">
        <v>1</v>
      </c>
      <c r="E10">
        <v>2410</v>
      </c>
      <c r="F10" t="s">
        <v>17</v>
      </c>
      <c r="G10" s="1">
        <v>3316416.65</v>
      </c>
      <c r="H10" s="1">
        <v>8444953.7799999993</v>
      </c>
      <c r="I10" s="1">
        <v>47957000</v>
      </c>
    </row>
    <row r="11" spans="1:9" x14ac:dyDescent="0.25">
      <c r="A11">
        <v>2023</v>
      </c>
      <c r="B11">
        <v>2</v>
      </c>
      <c r="C11">
        <v>11125004001</v>
      </c>
      <c r="D11">
        <v>1</v>
      </c>
      <c r="E11">
        <v>1670</v>
      </c>
      <c r="F11" t="s">
        <v>18</v>
      </c>
      <c r="G11" s="1">
        <v>697214.81</v>
      </c>
      <c r="H11" s="1">
        <v>1901493.99</v>
      </c>
      <c r="I11" s="1">
        <v>13066000</v>
      </c>
    </row>
    <row r="12" spans="1:9" x14ac:dyDescent="0.25">
      <c r="A12">
        <v>2023</v>
      </c>
      <c r="B12">
        <v>2</v>
      </c>
      <c r="C12">
        <v>11125300000</v>
      </c>
      <c r="F12" t="s">
        <v>19</v>
      </c>
      <c r="G12" s="1">
        <v>4735369.45</v>
      </c>
      <c r="H12" s="1">
        <v>10795839.32</v>
      </c>
      <c r="I12" s="1">
        <v>92081000</v>
      </c>
    </row>
    <row r="13" spans="1:9" x14ac:dyDescent="0.25">
      <c r="A13">
        <v>2023</v>
      </c>
      <c r="B13">
        <v>2</v>
      </c>
      <c r="C13">
        <v>11125301001</v>
      </c>
      <c r="D13">
        <v>1</v>
      </c>
      <c r="E13">
        <v>248</v>
      </c>
      <c r="F13" t="s">
        <v>20</v>
      </c>
      <c r="G13" s="1">
        <v>4731851.5599999996</v>
      </c>
      <c r="H13" s="1">
        <v>10788937.109999999</v>
      </c>
      <c r="I13" s="1">
        <v>91900000</v>
      </c>
    </row>
    <row r="14" spans="1:9" x14ac:dyDescent="0.25">
      <c r="A14">
        <v>2023</v>
      </c>
      <c r="B14">
        <v>2</v>
      </c>
      <c r="C14">
        <v>11125302001</v>
      </c>
      <c r="D14">
        <v>1</v>
      </c>
      <c r="E14">
        <v>1650</v>
      </c>
      <c r="F14" t="s">
        <v>21</v>
      </c>
      <c r="G14" s="1">
        <v>3517.89</v>
      </c>
      <c r="H14" s="1">
        <v>6902.21</v>
      </c>
      <c r="I14" s="1">
        <v>181000</v>
      </c>
    </row>
    <row r="15" spans="1:9" x14ac:dyDescent="0.25">
      <c r="A15">
        <v>2023</v>
      </c>
      <c r="B15">
        <v>2</v>
      </c>
      <c r="C15">
        <v>11130000000</v>
      </c>
      <c r="F15" t="s">
        <v>22</v>
      </c>
      <c r="G15" s="1">
        <v>12757063.119999999</v>
      </c>
      <c r="H15" s="1">
        <v>25958900.199999999</v>
      </c>
      <c r="I15" s="1">
        <v>170382000</v>
      </c>
    </row>
    <row r="16" spans="1:9" x14ac:dyDescent="0.25">
      <c r="A16">
        <v>2023</v>
      </c>
      <c r="B16">
        <v>2</v>
      </c>
      <c r="C16">
        <v>11130300000</v>
      </c>
      <c r="F16" t="s">
        <v>23</v>
      </c>
      <c r="G16" s="1">
        <v>12757063.119999999</v>
      </c>
      <c r="H16" s="1">
        <v>25958900.199999999</v>
      </c>
      <c r="I16" s="1">
        <v>170382000</v>
      </c>
    </row>
    <row r="17" spans="1:9" x14ac:dyDescent="0.25">
      <c r="A17">
        <v>2023</v>
      </c>
      <c r="B17">
        <v>2</v>
      </c>
      <c r="C17">
        <v>11130310000</v>
      </c>
      <c r="F17" t="s">
        <v>24</v>
      </c>
      <c r="G17" s="1">
        <v>12757063.119999999</v>
      </c>
      <c r="H17" s="1">
        <v>25958900.199999999</v>
      </c>
      <c r="I17" s="1">
        <v>170382000</v>
      </c>
    </row>
    <row r="18" spans="1:9" x14ac:dyDescent="0.25">
      <c r="A18">
        <v>2023</v>
      </c>
      <c r="B18">
        <v>2</v>
      </c>
      <c r="C18">
        <v>11130311001</v>
      </c>
      <c r="D18">
        <v>1</v>
      </c>
      <c r="E18">
        <v>1141</v>
      </c>
      <c r="F18" t="s">
        <v>25</v>
      </c>
      <c r="G18" s="1">
        <v>7520259.6900000004</v>
      </c>
      <c r="H18" s="1">
        <v>15530145.59</v>
      </c>
      <c r="I18" s="1">
        <v>170382000</v>
      </c>
    </row>
    <row r="19" spans="1:9" x14ac:dyDescent="0.25">
      <c r="A19">
        <v>2023</v>
      </c>
      <c r="B19">
        <v>2</v>
      </c>
      <c r="C19">
        <v>11130311002</v>
      </c>
      <c r="D19">
        <v>1</v>
      </c>
      <c r="E19">
        <v>2016</v>
      </c>
      <c r="F19" t="s">
        <v>26</v>
      </c>
      <c r="G19" s="1">
        <v>5236803.43</v>
      </c>
      <c r="H19" s="1">
        <v>10428754.609999999</v>
      </c>
      <c r="I19">
        <v>0</v>
      </c>
    </row>
    <row r="20" spans="1:9" x14ac:dyDescent="0.25">
      <c r="A20">
        <v>2023</v>
      </c>
      <c r="B20">
        <v>2</v>
      </c>
      <c r="C20">
        <v>11140000000</v>
      </c>
      <c r="F20" t="s">
        <v>27</v>
      </c>
      <c r="G20" s="1">
        <v>37607905.530000001</v>
      </c>
      <c r="H20" s="1">
        <v>91697760.200000003</v>
      </c>
      <c r="I20" s="1">
        <v>476670000</v>
      </c>
    </row>
    <row r="21" spans="1:9" x14ac:dyDescent="0.25">
      <c r="A21">
        <v>2023</v>
      </c>
      <c r="B21">
        <v>2</v>
      </c>
      <c r="C21">
        <v>11145100000</v>
      </c>
      <c r="F21" t="s">
        <v>28</v>
      </c>
      <c r="G21" s="1">
        <v>37607905.530000001</v>
      </c>
      <c r="H21" s="1">
        <v>91697760.200000003</v>
      </c>
      <c r="I21" s="1">
        <v>476670000</v>
      </c>
    </row>
    <row r="22" spans="1:9" x14ac:dyDescent="0.25">
      <c r="A22">
        <v>2023</v>
      </c>
      <c r="B22">
        <v>2</v>
      </c>
      <c r="C22">
        <v>11145110000</v>
      </c>
      <c r="F22" t="s">
        <v>29</v>
      </c>
      <c r="G22" s="1">
        <v>37607905.530000001</v>
      </c>
      <c r="H22" s="1">
        <v>91697760.200000003</v>
      </c>
      <c r="I22" s="1">
        <v>476670000</v>
      </c>
    </row>
    <row r="23" spans="1:9" x14ac:dyDescent="0.25">
      <c r="A23">
        <v>2023</v>
      </c>
      <c r="B23">
        <v>2</v>
      </c>
      <c r="C23">
        <v>11145111001</v>
      </c>
      <c r="D23">
        <v>1</v>
      </c>
      <c r="E23">
        <v>35</v>
      </c>
      <c r="F23" t="s">
        <v>30</v>
      </c>
      <c r="G23" s="1">
        <v>27572799.030000001</v>
      </c>
      <c r="H23" s="1">
        <v>69953956.400000006</v>
      </c>
      <c r="I23" s="1">
        <v>346791000</v>
      </c>
    </row>
    <row r="24" spans="1:9" x14ac:dyDescent="0.25">
      <c r="A24">
        <v>2023</v>
      </c>
      <c r="B24">
        <v>2</v>
      </c>
      <c r="C24">
        <v>11145111002</v>
      </c>
      <c r="D24">
        <v>1</v>
      </c>
      <c r="E24">
        <v>221</v>
      </c>
      <c r="F24" t="s">
        <v>31</v>
      </c>
      <c r="G24" s="1">
        <v>783200.33</v>
      </c>
      <c r="H24" s="1">
        <v>1326298.01</v>
      </c>
      <c r="I24" s="1">
        <v>10748000</v>
      </c>
    </row>
    <row r="25" spans="1:9" x14ac:dyDescent="0.25">
      <c r="A25">
        <v>2023</v>
      </c>
      <c r="B25">
        <v>2</v>
      </c>
      <c r="C25">
        <v>11145111003</v>
      </c>
      <c r="D25">
        <v>1</v>
      </c>
      <c r="E25">
        <v>222</v>
      </c>
      <c r="F25" t="s">
        <v>32</v>
      </c>
      <c r="G25" s="1">
        <v>7575648.1600000001</v>
      </c>
      <c r="H25" s="1">
        <v>16849222.190000001</v>
      </c>
      <c r="I25" s="1">
        <v>95459000</v>
      </c>
    </row>
    <row r="26" spans="1:9" x14ac:dyDescent="0.25">
      <c r="A26">
        <v>2023</v>
      </c>
      <c r="B26">
        <v>2</v>
      </c>
      <c r="C26">
        <v>11145111004</v>
      </c>
      <c r="D26">
        <v>1</v>
      </c>
      <c r="E26">
        <v>1011</v>
      </c>
      <c r="F26" t="s">
        <v>33</v>
      </c>
      <c r="G26" s="1">
        <v>145584.47</v>
      </c>
      <c r="H26" s="1">
        <v>320994.99</v>
      </c>
      <c r="I26" s="1">
        <v>2315000</v>
      </c>
    </row>
    <row r="27" spans="1:9" x14ac:dyDescent="0.25">
      <c r="A27">
        <v>2023</v>
      </c>
      <c r="B27">
        <v>2</v>
      </c>
      <c r="C27">
        <v>11145112001</v>
      </c>
      <c r="D27">
        <v>1</v>
      </c>
      <c r="E27">
        <v>1630</v>
      </c>
      <c r="F27" t="s">
        <v>34</v>
      </c>
      <c r="G27">
        <v>624.34</v>
      </c>
      <c r="H27" s="1">
        <v>1633.9</v>
      </c>
      <c r="I27" s="1">
        <v>20000</v>
      </c>
    </row>
    <row r="28" spans="1:9" x14ac:dyDescent="0.25">
      <c r="A28">
        <v>2023</v>
      </c>
      <c r="B28">
        <v>2</v>
      </c>
      <c r="C28">
        <v>11145113001</v>
      </c>
      <c r="D28">
        <v>1</v>
      </c>
      <c r="E28">
        <v>2445</v>
      </c>
      <c r="F28" t="s">
        <v>35</v>
      </c>
      <c r="G28" s="1">
        <v>1175754.05</v>
      </c>
      <c r="H28" s="1">
        <v>2512103.91</v>
      </c>
      <c r="I28" s="1">
        <v>16503000</v>
      </c>
    </row>
    <row r="29" spans="1:9" x14ac:dyDescent="0.25">
      <c r="A29">
        <v>2023</v>
      </c>
      <c r="B29">
        <v>2</v>
      </c>
      <c r="C29">
        <v>11145114001</v>
      </c>
      <c r="D29">
        <v>1</v>
      </c>
      <c r="E29">
        <v>1680</v>
      </c>
      <c r="F29" t="s">
        <v>36</v>
      </c>
      <c r="G29" s="1">
        <v>354295.15</v>
      </c>
      <c r="H29" s="1">
        <v>733550.8</v>
      </c>
      <c r="I29" s="1">
        <v>4834000</v>
      </c>
    </row>
    <row r="30" spans="1:9" x14ac:dyDescent="0.25">
      <c r="A30">
        <v>2023</v>
      </c>
      <c r="B30">
        <v>2</v>
      </c>
      <c r="C30">
        <v>11200000000</v>
      </c>
      <c r="F30" t="s">
        <v>37</v>
      </c>
      <c r="G30" s="1">
        <v>11839557.82</v>
      </c>
      <c r="H30" s="1">
        <v>14644109.5</v>
      </c>
      <c r="I30" s="1">
        <v>40169000</v>
      </c>
    </row>
    <row r="31" spans="1:9" x14ac:dyDescent="0.25">
      <c r="A31">
        <v>2023</v>
      </c>
      <c r="B31">
        <v>2</v>
      </c>
      <c r="C31">
        <v>11210000000</v>
      </c>
      <c r="F31" t="s">
        <v>38</v>
      </c>
      <c r="G31" s="1">
        <v>129737.97</v>
      </c>
      <c r="H31" s="1">
        <v>353173.74</v>
      </c>
      <c r="I31" s="1">
        <v>10023000</v>
      </c>
    </row>
    <row r="32" spans="1:9" x14ac:dyDescent="0.25">
      <c r="A32">
        <v>2023</v>
      </c>
      <c r="B32">
        <v>2</v>
      </c>
      <c r="C32">
        <v>11210100000</v>
      </c>
      <c r="F32" t="s">
        <v>39</v>
      </c>
      <c r="G32" s="1">
        <v>80648.09</v>
      </c>
      <c r="H32" s="1">
        <v>261796.73</v>
      </c>
      <c r="I32" s="1">
        <v>9411000</v>
      </c>
    </row>
    <row r="33" spans="1:9" x14ac:dyDescent="0.25">
      <c r="A33">
        <v>2023</v>
      </c>
      <c r="B33">
        <v>2</v>
      </c>
      <c r="C33">
        <v>11210101001</v>
      </c>
      <c r="D33">
        <v>1</v>
      </c>
      <c r="E33">
        <v>43</v>
      </c>
      <c r="F33" t="s">
        <v>40</v>
      </c>
      <c r="G33" s="1">
        <v>14947.91</v>
      </c>
      <c r="H33" s="1">
        <v>20547.66</v>
      </c>
      <c r="I33" s="1">
        <v>299000</v>
      </c>
    </row>
    <row r="34" spans="1:9" x14ac:dyDescent="0.25">
      <c r="A34">
        <v>2023</v>
      </c>
      <c r="B34">
        <v>2</v>
      </c>
      <c r="C34">
        <v>11210101002</v>
      </c>
      <c r="D34">
        <v>1</v>
      </c>
      <c r="E34">
        <v>51</v>
      </c>
      <c r="F34" t="s">
        <v>41</v>
      </c>
      <c r="G34" s="1">
        <v>7626.76</v>
      </c>
      <c r="H34" s="1">
        <v>35065.129999999997</v>
      </c>
      <c r="I34" s="1">
        <v>6969000</v>
      </c>
    </row>
    <row r="35" spans="1:9" x14ac:dyDescent="0.25">
      <c r="A35">
        <v>2023</v>
      </c>
      <c r="B35">
        <v>2</v>
      </c>
      <c r="C35">
        <v>11210101003</v>
      </c>
      <c r="D35">
        <v>1</v>
      </c>
      <c r="E35">
        <v>78</v>
      </c>
      <c r="F35" t="s">
        <v>42</v>
      </c>
      <c r="G35">
        <v>0</v>
      </c>
      <c r="H35" s="1">
        <v>1108.21</v>
      </c>
      <c r="I35" s="1">
        <v>30000</v>
      </c>
    </row>
    <row r="36" spans="1:9" x14ac:dyDescent="0.25">
      <c r="A36">
        <v>2023</v>
      </c>
      <c r="B36">
        <v>2</v>
      </c>
      <c r="C36">
        <v>11210101004</v>
      </c>
      <c r="D36">
        <v>1</v>
      </c>
      <c r="E36">
        <v>86</v>
      </c>
      <c r="F36" t="s">
        <v>43</v>
      </c>
      <c r="G36" s="1">
        <v>45853.21</v>
      </c>
      <c r="H36" s="1">
        <v>161116.14000000001</v>
      </c>
      <c r="I36" s="1">
        <v>1412000</v>
      </c>
    </row>
    <row r="37" spans="1:9" x14ac:dyDescent="0.25">
      <c r="A37">
        <v>2023</v>
      </c>
      <c r="B37">
        <v>2</v>
      </c>
      <c r="C37">
        <v>11210101005</v>
      </c>
      <c r="D37">
        <v>1</v>
      </c>
      <c r="E37">
        <v>94</v>
      </c>
      <c r="F37" t="s">
        <v>44</v>
      </c>
      <c r="G37">
        <v>615.57000000000005</v>
      </c>
      <c r="H37" s="1">
        <v>2550.2399999999998</v>
      </c>
      <c r="I37" s="1">
        <v>394000</v>
      </c>
    </row>
    <row r="38" spans="1:9" x14ac:dyDescent="0.25">
      <c r="A38">
        <v>2023</v>
      </c>
      <c r="B38">
        <v>2</v>
      </c>
      <c r="C38">
        <v>11210101006</v>
      </c>
      <c r="D38">
        <v>1</v>
      </c>
      <c r="E38">
        <v>108</v>
      </c>
      <c r="F38" t="s">
        <v>45</v>
      </c>
      <c r="G38" s="1">
        <v>7191.53</v>
      </c>
      <c r="H38" s="1">
        <v>33926.43</v>
      </c>
      <c r="I38" s="1">
        <v>82000</v>
      </c>
    </row>
    <row r="39" spans="1:9" x14ac:dyDescent="0.25">
      <c r="A39">
        <v>2023</v>
      </c>
      <c r="B39">
        <v>2</v>
      </c>
      <c r="C39">
        <v>11210101007</v>
      </c>
      <c r="D39">
        <v>1</v>
      </c>
      <c r="E39">
        <v>120</v>
      </c>
      <c r="F39" t="s">
        <v>46</v>
      </c>
      <c r="G39">
        <v>2.1800000000000002</v>
      </c>
      <c r="H39">
        <v>2.1800000000000002</v>
      </c>
      <c r="I39" s="1">
        <v>116000</v>
      </c>
    </row>
    <row r="40" spans="1:9" x14ac:dyDescent="0.25">
      <c r="A40">
        <v>2023</v>
      </c>
      <c r="B40">
        <v>2</v>
      </c>
      <c r="C40">
        <v>11210101008</v>
      </c>
      <c r="D40">
        <v>1</v>
      </c>
      <c r="E40">
        <v>350</v>
      </c>
      <c r="F40" t="s">
        <v>47</v>
      </c>
      <c r="G40">
        <v>0</v>
      </c>
      <c r="H40" s="1">
        <v>1000</v>
      </c>
      <c r="I40" s="1">
        <v>20000</v>
      </c>
    </row>
    <row r="41" spans="1:9" x14ac:dyDescent="0.25">
      <c r="A41">
        <v>2023</v>
      </c>
      <c r="B41">
        <v>2</v>
      </c>
      <c r="C41">
        <v>11210102001</v>
      </c>
      <c r="D41">
        <v>1</v>
      </c>
      <c r="E41">
        <v>1660</v>
      </c>
      <c r="F41" t="s">
        <v>48</v>
      </c>
      <c r="G41" s="1">
        <v>4410.93</v>
      </c>
      <c r="H41" s="1">
        <v>6480.74</v>
      </c>
      <c r="I41" s="1">
        <v>89000</v>
      </c>
    </row>
    <row r="42" spans="1:9" x14ac:dyDescent="0.25">
      <c r="A42">
        <v>2023</v>
      </c>
      <c r="B42">
        <v>2</v>
      </c>
      <c r="C42">
        <v>11215000000</v>
      </c>
      <c r="F42" t="s">
        <v>49</v>
      </c>
      <c r="G42" s="1">
        <v>49089.88</v>
      </c>
      <c r="H42" s="1">
        <v>91377.01</v>
      </c>
      <c r="I42" s="1">
        <v>612000</v>
      </c>
    </row>
    <row r="43" spans="1:9" x14ac:dyDescent="0.25">
      <c r="A43">
        <v>2023</v>
      </c>
      <c r="B43">
        <v>2</v>
      </c>
      <c r="C43">
        <v>11215001001</v>
      </c>
      <c r="D43">
        <v>6</v>
      </c>
      <c r="E43">
        <v>330</v>
      </c>
      <c r="F43" t="s">
        <v>50</v>
      </c>
      <c r="G43" s="1">
        <v>49089.88</v>
      </c>
      <c r="H43" s="1">
        <v>91377.01</v>
      </c>
      <c r="I43" s="1">
        <v>612000</v>
      </c>
    </row>
    <row r="44" spans="1:9" x14ac:dyDescent="0.25">
      <c r="A44">
        <v>2023</v>
      </c>
      <c r="B44">
        <v>2</v>
      </c>
      <c r="C44">
        <v>11220000000</v>
      </c>
      <c r="F44" t="s">
        <v>51</v>
      </c>
      <c r="G44" s="1">
        <v>11709819.85</v>
      </c>
      <c r="H44" s="1">
        <v>14290935.76</v>
      </c>
      <c r="I44" s="1">
        <v>30146000</v>
      </c>
    </row>
    <row r="45" spans="1:9" x14ac:dyDescent="0.25">
      <c r="A45">
        <v>2023</v>
      </c>
      <c r="B45">
        <v>2</v>
      </c>
      <c r="C45">
        <v>11220100000</v>
      </c>
      <c r="F45" t="s">
        <v>51</v>
      </c>
      <c r="G45" s="1">
        <v>11709819.85</v>
      </c>
      <c r="H45" s="1">
        <v>14290935.76</v>
      </c>
      <c r="I45" s="1">
        <v>30146000</v>
      </c>
    </row>
    <row r="46" spans="1:9" x14ac:dyDescent="0.25">
      <c r="A46">
        <v>2023</v>
      </c>
      <c r="B46">
        <v>2</v>
      </c>
      <c r="C46">
        <v>11220101001</v>
      </c>
      <c r="D46">
        <v>1</v>
      </c>
      <c r="E46">
        <v>140</v>
      </c>
      <c r="F46" t="s">
        <v>52</v>
      </c>
      <c r="G46" s="1">
        <v>11709701.57</v>
      </c>
      <c r="H46" s="1">
        <v>14290406.75</v>
      </c>
      <c r="I46" s="1">
        <v>30109000</v>
      </c>
    </row>
    <row r="47" spans="1:9" x14ac:dyDescent="0.25">
      <c r="A47">
        <v>2023</v>
      </c>
      <c r="B47">
        <v>2</v>
      </c>
      <c r="C47">
        <v>11220101002</v>
      </c>
      <c r="D47">
        <v>1</v>
      </c>
      <c r="E47">
        <v>116</v>
      </c>
      <c r="F47" t="s">
        <v>53</v>
      </c>
      <c r="G47">
        <v>29.58</v>
      </c>
      <c r="H47">
        <v>190.59</v>
      </c>
      <c r="I47" s="1">
        <v>3000</v>
      </c>
    </row>
    <row r="48" spans="1:9" x14ac:dyDescent="0.25">
      <c r="A48">
        <v>2023</v>
      </c>
      <c r="B48">
        <v>2</v>
      </c>
      <c r="C48">
        <v>11220101003</v>
      </c>
      <c r="D48">
        <v>1</v>
      </c>
      <c r="E48">
        <v>175</v>
      </c>
      <c r="F48" t="s">
        <v>54</v>
      </c>
      <c r="G48">
        <v>88.7</v>
      </c>
      <c r="H48">
        <v>338.42</v>
      </c>
      <c r="I48" s="1">
        <v>23000</v>
      </c>
    </row>
    <row r="49" spans="1:9" x14ac:dyDescent="0.25">
      <c r="A49">
        <v>2023</v>
      </c>
      <c r="B49">
        <v>2</v>
      </c>
      <c r="C49">
        <v>11220101004</v>
      </c>
      <c r="D49">
        <v>6</v>
      </c>
      <c r="E49">
        <v>2607</v>
      </c>
      <c r="F49" t="s">
        <v>55</v>
      </c>
      <c r="G49">
        <v>0</v>
      </c>
      <c r="H49">
        <v>0</v>
      </c>
      <c r="I49" s="1">
        <v>11000</v>
      </c>
    </row>
    <row r="50" spans="1:9" x14ac:dyDescent="0.25">
      <c r="A50">
        <v>2023</v>
      </c>
      <c r="B50">
        <v>2</v>
      </c>
      <c r="C50">
        <v>11300000000</v>
      </c>
      <c r="F50" t="s">
        <v>56</v>
      </c>
      <c r="G50">
        <v>0</v>
      </c>
      <c r="H50">
        <v>0</v>
      </c>
      <c r="I50" s="1">
        <v>4000</v>
      </c>
    </row>
    <row r="51" spans="1:9" x14ac:dyDescent="0.25">
      <c r="A51">
        <v>2023</v>
      </c>
      <c r="B51">
        <v>2</v>
      </c>
      <c r="C51">
        <v>11310000000</v>
      </c>
      <c r="F51" t="s">
        <v>56</v>
      </c>
      <c r="G51">
        <v>0</v>
      </c>
      <c r="H51">
        <v>0</v>
      </c>
      <c r="I51" s="1">
        <v>4000</v>
      </c>
    </row>
    <row r="52" spans="1:9" x14ac:dyDescent="0.25">
      <c r="A52">
        <v>2023</v>
      </c>
      <c r="B52">
        <v>2</v>
      </c>
      <c r="C52">
        <v>11315300000</v>
      </c>
      <c r="F52" t="s">
        <v>57</v>
      </c>
      <c r="G52">
        <v>0</v>
      </c>
      <c r="H52">
        <v>0</v>
      </c>
      <c r="I52" s="1">
        <v>4000</v>
      </c>
    </row>
    <row r="53" spans="1:9" x14ac:dyDescent="0.25">
      <c r="A53">
        <v>2023</v>
      </c>
      <c r="B53">
        <v>2</v>
      </c>
      <c r="C53">
        <v>11315301001</v>
      </c>
      <c r="D53">
        <v>1</v>
      </c>
      <c r="E53">
        <v>205</v>
      </c>
      <c r="F53" t="s">
        <v>58</v>
      </c>
      <c r="G53">
        <v>0</v>
      </c>
      <c r="H53">
        <v>0</v>
      </c>
      <c r="I53" s="1">
        <v>3000</v>
      </c>
    </row>
    <row r="54" spans="1:9" x14ac:dyDescent="0.25">
      <c r="A54">
        <v>2023</v>
      </c>
      <c r="B54">
        <v>2</v>
      </c>
      <c r="C54">
        <v>11315302001</v>
      </c>
      <c r="D54">
        <v>1</v>
      </c>
      <c r="E54">
        <v>1640</v>
      </c>
      <c r="F54" t="s">
        <v>59</v>
      </c>
      <c r="G54">
        <v>0</v>
      </c>
      <c r="H54">
        <v>0</v>
      </c>
      <c r="I54" s="1">
        <v>1000</v>
      </c>
    </row>
    <row r="55" spans="1:9" x14ac:dyDescent="0.25">
      <c r="A55">
        <v>2023</v>
      </c>
      <c r="B55">
        <v>2</v>
      </c>
      <c r="C55">
        <v>12000000000</v>
      </c>
      <c r="F55" t="s">
        <v>60</v>
      </c>
      <c r="G55" s="1">
        <v>3284650.68</v>
      </c>
      <c r="H55" s="1">
        <v>5862966.1299999999</v>
      </c>
      <c r="I55" s="1">
        <v>30084000</v>
      </c>
    </row>
    <row r="56" spans="1:9" x14ac:dyDescent="0.25">
      <c r="A56">
        <v>2023</v>
      </c>
      <c r="B56">
        <v>2</v>
      </c>
      <c r="C56">
        <v>12400000000</v>
      </c>
      <c r="F56" t="s">
        <v>61</v>
      </c>
      <c r="G56" s="1">
        <v>3284650.68</v>
      </c>
      <c r="H56" s="1">
        <v>5862966.1299999999</v>
      </c>
      <c r="I56" s="1">
        <v>30084000</v>
      </c>
    </row>
    <row r="57" spans="1:9" x14ac:dyDescent="0.25">
      <c r="A57">
        <v>2023</v>
      </c>
      <c r="B57">
        <v>2</v>
      </c>
      <c r="C57">
        <v>12410000000</v>
      </c>
      <c r="F57" t="s">
        <v>61</v>
      </c>
      <c r="G57" s="1">
        <v>3284650.68</v>
      </c>
      <c r="H57" s="1">
        <v>5862966.1299999999</v>
      </c>
      <c r="I57" s="1">
        <v>30084000</v>
      </c>
    </row>
    <row r="58" spans="1:9" x14ac:dyDescent="0.25">
      <c r="A58">
        <v>2023</v>
      </c>
      <c r="B58">
        <v>2</v>
      </c>
      <c r="C58">
        <v>12415000000</v>
      </c>
      <c r="F58" t="s">
        <v>61</v>
      </c>
      <c r="G58" s="1">
        <v>3284650.68</v>
      </c>
      <c r="H58" s="1">
        <v>5862966.1299999999</v>
      </c>
      <c r="I58" s="1">
        <v>30084000</v>
      </c>
    </row>
    <row r="59" spans="1:9" x14ac:dyDescent="0.25">
      <c r="A59">
        <v>2023</v>
      </c>
      <c r="B59">
        <v>2</v>
      </c>
      <c r="C59">
        <v>12415001001</v>
      </c>
      <c r="D59">
        <v>3</v>
      </c>
      <c r="E59">
        <v>2997</v>
      </c>
      <c r="F59" t="s">
        <v>62</v>
      </c>
      <c r="G59" s="1">
        <v>1106633.97</v>
      </c>
      <c r="H59" s="1">
        <v>1388584.76</v>
      </c>
      <c r="I59" s="1">
        <v>3317000</v>
      </c>
    </row>
    <row r="60" spans="1:9" x14ac:dyDescent="0.25">
      <c r="A60">
        <v>2023</v>
      </c>
      <c r="B60">
        <v>2</v>
      </c>
      <c r="C60">
        <v>12415001002</v>
      </c>
      <c r="D60">
        <v>3</v>
      </c>
      <c r="E60">
        <v>2964</v>
      </c>
      <c r="F60" t="s">
        <v>63</v>
      </c>
      <c r="G60" s="1">
        <v>2178016.71</v>
      </c>
      <c r="H60" s="1">
        <v>4474381.37</v>
      </c>
      <c r="I60" s="1">
        <v>26767000</v>
      </c>
    </row>
    <row r="61" spans="1:9" x14ac:dyDescent="0.25">
      <c r="A61">
        <v>2023</v>
      </c>
      <c r="B61">
        <v>2</v>
      </c>
      <c r="C61">
        <v>13000000000</v>
      </c>
      <c r="F61" t="s">
        <v>64</v>
      </c>
      <c r="G61" s="1">
        <v>5644125.6799999997</v>
      </c>
      <c r="H61" s="1">
        <v>11983161.390000001</v>
      </c>
      <c r="I61" s="1">
        <v>49064000</v>
      </c>
    </row>
    <row r="62" spans="1:9" x14ac:dyDescent="0.25">
      <c r="A62">
        <v>2023</v>
      </c>
      <c r="B62">
        <v>2</v>
      </c>
      <c r="C62">
        <v>13100000000</v>
      </c>
      <c r="F62" t="s">
        <v>65</v>
      </c>
      <c r="G62" s="1">
        <v>271027.57</v>
      </c>
      <c r="H62" s="1">
        <v>450267.59</v>
      </c>
      <c r="I62" s="1">
        <v>3022000</v>
      </c>
    </row>
    <row r="63" spans="1:9" x14ac:dyDescent="0.25">
      <c r="A63">
        <v>2023</v>
      </c>
      <c r="B63">
        <v>2</v>
      </c>
      <c r="C63">
        <v>13110000000</v>
      </c>
      <c r="F63" t="s">
        <v>65</v>
      </c>
      <c r="G63" s="1">
        <v>271027.57</v>
      </c>
      <c r="H63" s="1">
        <v>450267.59</v>
      </c>
      <c r="I63" s="1">
        <v>3022000</v>
      </c>
    </row>
    <row r="64" spans="1:9" x14ac:dyDescent="0.25">
      <c r="A64">
        <v>2023</v>
      </c>
      <c r="B64">
        <v>2</v>
      </c>
      <c r="C64">
        <v>13110100000</v>
      </c>
      <c r="F64" t="s">
        <v>66</v>
      </c>
      <c r="G64" s="1">
        <v>251917.57</v>
      </c>
      <c r="H64" s="1">
        <v>405334.83</v>
      </c>
      <c r="I64" s="1">
        <v>2888000</v>
      </c>
    </row>
    <row r="65" spans="1:9" x14ac:dyDescent="0.25">
      <c r="A65">
        <v>2023</v>
      </c>
      <c r="B65">
        <v>2</v>
      </c>
      <c r="C65">
        <v>13110110000</v>
      </c>
      <c r="F65" t="s">
        <v>67</v>
      </c>
      <c r="G65" s="1">
        <v>19704.740000000002</v>
      </c>
      <c r="H65" s="1">
        <v>46994.93</v>
      </c>
      <c r="I65" s="1">
        <v>358000</v>
      </c>
    </row>
    <row r="66" spans="1:9" x14ac:dyDescent="0.25">
      <c r="A66">
        <v>2023</v>
      </c>
      <c r="B66">
        <v>2</v>
      </c>
      <c r="C66">
        <v>13110111001</v>
      </c>
      <c r="D66">
        <v>1</v>
      </c>
      <c r="E66">
        <v>1040</v>
      </c>
      <c r="F66" t="s">
        <v>68</v>
      </c>
      <c r="G66" s="1">
        <v>19704.740000000002</v>
      </c>
      <c r="H66" s="1">
        <v>46994.93</v>
      </c>
      <c r="I66" s="1">
        <v>358000</v>
      </c>
    </row>
    <row r="67" spans="1:9" x14ac:dyDescent="0.25">
      <c r="A67">
        <v>2023</v>
      </c>
      <c r="B67">
        <v>2</v>
      </c>
      <c r="C67">
        <v>13110120000</v>
      </c>
      <c r="F67" t="s">
        <v>69</v>
      </c>
      <c r="G67" s="1">
        <v>232212.83</v>
      </c>
      <c r="H67" s="1">
        <v>358339.9</v>
      </c>
      <c r="I67" s="1">
        <v>2530000</v>
      </c>
    </row>
    <row r="68" spans="1:9" x14ac:dyDescent="0.25">
      <c r="A68">
        <v>2023</v>
      </c>
      <c r="B68">
        <v>2</v>
      </c>
      <c r="C68">
        <v>13110121001</v>
      </c>
      <c r="D68">
        <v>1</v>
      </c>
      <c r="E68">
        <v>1023</v>
      </c>
      <c r="F68" t="s">
        <v>70</v>
      </c>
      <c r="G68" s="1">
        <v>232212.83</v>
      </c>
      <c r="H68" s="1">
        <v>358339.9</v>
      </c>
      <c r="I68" s="1">
        <v>2530000</v>
      </c>
    </row>
    <row r="69" spans="1:9" x14ac:dyDescent="0.25">
      <c r="A69">
        <v>2023</v>
      </c>
      <c r="B69">
        <v>2</v>
      </c>
      <c r="C69">
        <v>13110200000</v>
      </c>
      <c r="F69" t="s">
        <v>71</v>
      </c>
      <c r="G69" s="1">
        <v>19110</v>
      </c>
      <c r="H69" s="1">
        <v>44932.76</v>
      </c>
      <c r="I69" s="1">
        <v>134000</v>
      </c>
    </row>
    <row r="70" spans="1:9" x14ac:dyDescent="0.25">
      <c r="A70">
        <v>2023</v>
      </c>
      <c r="B70">
        <v>2</v>
      </c>
      <c r="C70">
        <v>13110201001</v>
      </c>
      <c r="D70">
        <v>1</v>
      </c>
      <c r="E70">
        <v>1057</v>
      </c>
      <c r="F70" t="s">
        <v>72</v>
      </c>
      <c r="G70">
        <v>0</v>
      </c>
      <c r="H70" s="1">
        <v>3222.76</v>
      </c>
      <c r="I70">
        <v>0</v>
      </c>
    </row>
    <row r="71" spans="1:9" x14ac:dyDescent="0.25">
      <c r="A71">
        <v>2023</v>
      </c>
      <c r="B71">
        <v>2</v>
      </c>
      <c r="C71">
        <v>13110201004</v>
      </c>
      <c r="D71">
        <v>1</v>
      </c>
      <c r="E71">
        <v>2165</v>
      </c>
      <c r="F71" t="s">
        <v>73</v>
      </c>
      <c r="G71" s="1">
        <v>19110</v>
      </c>
      <c r="H71" s="1">
        <v>41710</v>
      </c>
      <c r="I71" s="1">
        <v>134000</v>
      </c>
    </row>
    <row r="72" spans="1:9" x14ac:dyDescent="0.25">
      <c r="A72">
        <v>2023</v>
      </c>
      <c r="B72">
        <v>2</v>
      </c>
      <c r="C72">
        <v>13200000000</v>
      </c>
      <c r="F72" t="s">
        <v>74</v>
      </c>
      <c r="G72" s="1">
        <v>5373098.1100000003</v>
      </c>
      <c r="H72" s="1">
        <v>11532893.800000001</v>
      </c>
      <c r="I72" s="1">
        <v>46042000</v>
      </c>
    </row>
    <row r="73" spans="1:9" x14ac:dyDescent="0.25">
      <c r="A73">
        <v>2023</v>
      </c>
      <c r="B73">
        <v>2</v>
      </c>
      <c r="C73">
        <v>13210000000</v>
      </c>
      <c r="F73" t="s">
        <v>75</v>
      </c>
      <c r="G73" s="1">
        <v>5373098.1100000003</v>
      </c>
      <c r="H73" s="1">
        <v>11532893.800000001</v>
      </c>
      <c r="I73" s="1">
        <v>45943000</v>
      </c>
    </row>
    <row r="74" spans="1:9" x14ac:dyDescent="0.25">
      <c r="A74">
        <v>2023</v>
      </c>
      <c r="B74">
        <v>2</v>
      </c>
      <c r="C74">
        <v>13210100000</v>
      </c>
      <c r="F74" t="s">
        <v>76</v>
      </c>
      <c r="G74" s="1">
        <v>5373098.1100000003</v>
      </c>
      <c r="H74" s="1">
        <v>11532893.800000001</v>
      </c>
      <c r="I74" s="1">
        <v>45943000</v>
      </c>
    </row>
    <row r="75" spans="1:9" x14ac:dyDescent="0.25">
      <c r="A75">
        <v>2023</v>
      </c>
      <c r="B75">
        <v>2</v>
      </c>
      <c r="C75">
        <v>13210101001</v>
      </c>
      <c r="D75">
        <v>2</v>
      </c>
      <c r="E75">
        <v>1912</v>
      </c>
      <c r="F75" t="s">
        <v>77</v>
      </c>
      <c r="G75" s="1">
        <v>309401.56</v>
      </c>
      <c r="H75" s="1">
        <v>709196.32</v>
      </c>
      <c r="I75" s="1">
        <v>7213000</v>
      </c>
    </row>
    <row r="76" spans="1:9" x14ac:dyDescent="0.25">
      <c r="A76">
        <v>2023</v>
      </c>
      <c r="B76">
        <v>2</v>
      </c>
      <c r="C76">
        <v>13210101002</v>
      </c>
      <c r="D76">
        <v>1</v>
      </c>
      <c r="E76">
        <v>1890</v>
      </c>
      <c r="F76" t="s">
        <v>78</v>
      </c>
      <c r="G76" s="1">
        <v>39441.230000000003</v>
      </c>
      <c r="H76" s="1">
        <v>78073.55</v>
      </c>
      <c r="I76" s="1">
        <v>102000</v>
      </c>
    </row>
    <row r="77" spans="1:9" x14ac:dyDescent="0.25">
      <c r="A77">
        <v>2023</v>
      </c>
      <c r="B77">
        <v>2</v>
      </c>
      <c r="C77">
        <v>13210101003</v>
      </c>
      <c r="D77">
        <v>5</v>
      </c>
      <c r="E77">
        <v>1030</v>
      </c>
      <c r="F77" t="s">
        <v>79</v>
      </c>
      <c r="G77">
        <v>0</v>
      </c>
      <c r="H77">
        <v>0</v>
      </c>
      <c r="I77" s="1">
        <v>10000</v>
      </c>
    </row>
    <row r="78" spans="1:9" x14ac:dyDescent="0.25">
      <c r="A78">
        <v>2023</v>
      </c>
      <c r="B78">
        <v>2</v>
      </c>
      <c r="C78">
        <v>13210101005</v>
      </c>
      <c r="D78">
        <v>5</v>
      </c>
      <c r="E78">
        <v>1511</v>
      </c>
      <c r="F78" t="s">
        <v>80</v>
      </c>
      <c r="G78">
        <v>0</v>
      </c>
      <c r="H78">
        <v>0</v>
      </c>
      <c r="I78" s="1">
        <v>1000</v>
      </c>
    </row>
    <row r="79" spans="1:9" x14ac:dyDescent="0.25">
      <c r="A79">
        <v>2023</v>
      </c>
      <c r="B79">
        <v>2</v>
      </c>
      <c r="C79">
        <v>13210101006</v>
      </c>
      <c r="D79">
        <v>2</v>
      </c>
      <c r="E79">
        <v>1780</v>
      </c>
      <c r="F79" t="s">
        <v>81</v>
      </c>
      <c r="G79" s="1">
        <v>88340.42</v>
      </c>
      <c r="H79" s="1">
        <v>203804.87</v>
      </c>
      <c r="I79" s="1">
        <v>336000</v>
      </c>
    </row>
    <row r="80" spans="1:9" x14ac:dyDescent="0.25">
      <c r="A80">
        <v>2023</v>
      </c>
      <c r="B80">
        <v>2</v>
      </c>
      <c r="C80">
        <v>13210101007</v>
      </c>
      <c r="D80">
        <v>5</v>
      </c>
      <c r="E80">
        <v>1074</v>
      </c>
      <c r="F80" t="s">
        <v>82</v>
      </c>
      <c r="G80" s="1">
        <v>1980.31</v>
      </c>
      <c r="H80" s="1">
        <v>5648.92</v>
      </c>
      <c r="I80">
        <v>0</v>
      </c>
    </row>
    <row r="81" spans="1:9" x14ac:dyDescent="0.25">
      <c r="A81">
        <v>2023</v>
      </c>
      <c r="B81">
        <v>2</v>
      </c>
      <c r="C81">
        <v>13210101008</v>
      </c>
      <c r="D81">
        <v>1</v>
      </c>
      <c r="E81">
        <v>1546</v>
      </c>
      <c r="F81" t="s">
        <v>83</v>
      </c>
      <c r="G81" s="1">
        <v>19343.099999999999</v>
      </c>
      <c r="H81" s="1">
        <v>29327.439999999999</v>
      </c>
      <c r="I81" s="1">
        <v>2049000</v>
      </c>
    </row>
    <row r="82" spans="1:9" x14ac:dyDescent="0.25">
      <c r="A82">
        <v>2023</v>
      </c>
      <c r="B82">
        <v>2</v>
      </c>
      <c r="C82">
        <v>13210101009</v>
      </c>
      <c r="D82">
        <v>5</v>
      </c>
      <c r="E82">
        <v>1750</v>
      </c>
      <c r="F82" t="s">
        <v>84</v>
      </c>
      <c r="G82" s="1">
        <v>392839.46</v>
      </c>
      <c r="H82" s="1">
        <v>844163.78</v>
      </c>
      <c r="I82" s="1">
        <v>4126000</v>
      </c>
    </row>
    <row r="83" spans="1:9" x14ac:dyDescent="0.25">
      <c r="A83">
        <v>2023</v>
      </c>
      <c r="B83">
        <v>2</v>
      </c>
      <c r="C83">
        <v>13210101010</v>
      </c>
      <c r="D83">
        <v>5</v>
      </c>
      <c r="E83">
        <v>1500</v>
      </c>
      <c r="F83" t="s">
        <v>85</v>
      </c>
      <c r="G83" s="1">
        <v>8710.2800000000007</v>
      </c>
      <c r="H83" s="1">
        <v>20016.189999999999</v>
      </c>
      <c r="I83" s="1">
        <v>767000</v>
      </c>
    </row>
    <row r="84" spans="1:9" x14ac:dyDescent="0.25">
      <c r="A84">
        <v>2023</v>
      </c>
      <c r="B84">
        <v>2</v>
      </c>
      <c r="C84">
        <v>13210101012</v>
      </c>
      <c r="D84">
        <v>1</v>
      </c>
      <c r="E84">
        <v>1123</v>
      </c>
      <c r="F84" t="s">
        <v>86</v>
      </c>
      <c r="G84">
        <v>921.63</v>
      </c>
      <c r="H84" s="1">
        <v>3748.53</v>
      </c>
      <c r="I84" s="1">
        <v>10000</v>
      </c>
    </row>
    <row r="85" spans="1:9" x14ac:dyDescent="0.25">
      <c r="A85">
        <v>2023</v>
      </c>
      <c r="B85">
        <v>2</v>
      </c>
      <c r="C85">
        <v>13210101013</v>
      </c>
      <c r="D85">
        <v>5</v>
      </c>
      <c r="E85">
        <v>1730</v>
      </c>
      <c r="F85" t="s">
        <v>87</v>
      </c>
      <c r="G85" s="1">
        <v>8137.06</v>
      </c>
      <c r="H85" s="1">
        <v>18497.87</v>
      </c>
      <c r="I85" s="1">
        <v>61000</v>
      </c>
    </row>
    <row r="86" spans="1:9" x14ac:dyDescent="0.25">
      <c r="A86">
        <v>2023</v>
      </c>
      <c r="B86">
        <v>2</v>
      </c>
      <c r="C86">
        <v>13210101014</v>
      </c>
      <c r="D86">
        <v>3</v>
      </c>
      <c r="E86">
        <v>1913</v>
      </c>
      <c r="F86" t="s">
        <v>88</v>
      </c>
      <c r="G86" s="1">
        <v>93729.34</v>
      </c>
      <c r="H86" s="1">
        <v>216445.78</v>
      </c>
      <c r="I86" s="1">
        <v>710000</v>
      </c>
    </row>
    <row r="87" spans="1:9" x14ac:dyDescent="0.25">
      <c r="A87">
        <v>2023</v>
      </c>
      <c r="B87">
        <v>2</v>
      </c>
      <c r="C87">
        <v>13210101016</v>
      </c>
      <c r="D87">
        <v>3</v>
      </c>
      <c r="E87">
        <v>1210</v>
      </c>
      <c r="F87" t="s">
        <v>89</v>
      </c>
      <c r="G87" s="1">
        <v>123510.65</v>
      </c>
      <c r="H87" s="1">
        <v>317140.2</v>
      </c>
      <c r="I87" s="1">
        <v>300000</v>
      </c>
    </row>
    <row r="88" spans="1:9" x14ac:dyDescent="0.25">
      <c r="A88">
        <v>2023</v>
      </c>
      <c r="B88">
        <v>2</v>
      </c>
      <c r="C88">
        <v>13210101017</v>
      </c>
      <c r="D88">
        <v>3</v>
      </c>
      <c r="E88">
        <v>1820</v>
      </c>
      <c r="F88" t="s">
        <v>90</v>
      </c>
      <c r="G88" s="1">
        <v>9980.49</v>
      </c>
      <c r="H88" s="1">
        <v>25906.28</v>
      </c>
      <c r="I88" s="1">
        <v>92000</v>
      </c>
    </row>
    <row r="89" spans="1:9" x14ac:dyDescent="0.25">
      <c r="A89">
        <v>2023</v>
      </c>
      <c r="B89">
        <v>2</v>
      </c>
      <c r="C89">
        <v>13210101018</v>
      </c>
      <c r="D89">
        <v>3</v>
      </c>
      <c r="E89">
        <v>1134</v>
      </c>
      <c r="F89" t="s">
        <v>91</v>
      </c>
      <c r="G89" s="1">
        <v>26768.68</v>
      </c>
      <c r="H89" s="1">
        <v>53611.05</v>
      </c>
      <c r="I89" s="1">
        <v>255000</v>
      </c>
    </row>
    <row r="90" spans="1:9" x14ac:dyDescent="0.25">
      <c r="A90">
        <v>2023</v>
      </c>
      <c r="B90">
        <v>2</v>
      </c>
      <c r="C90">
        <v>13210101022</v>
      </c>
      <c r="D90">
        <v>5</v>
      </c>
      <c r="E90">
        <v>1700</v>
      </c>
      <c r="F90" t="s">
        <v>92</v>
      </c>
      <c r="G90">
        <v>151.30000000000001</v>
      </c>
      <c r="H90">
        <v>333.91</v>
      </c>
      <c r="I90">
        <v>0</v>
      </c>
    </row>
    <row r="91" spans="1:9" x14ac:dyDescent="0.25">
      <c r="A91">
        <v>2023</v>
      </c>
      <c r="B91">
        <v>2</v>
      </c>
      <c r="C91">
        <v>13210101024</v>
      </c>
      <c r="D91">
        <v>5</v>
      </c>
      <c r="E91">
        <v>1917</v>
      </c>
      <c r="F91" t="s">
        <v>93</v>
      </c>
      <c r="G91" s="1">
        <v>4696.99</v>
      </c>
      <c r="H91" s="1">
        <v>11286.89</v>
      </c>
      <c r="I91">
        <v>0</v>
      </c>
    </row>
    <row r="92" spans="1:9" x14ac:dyDescent="0.25">
      <c r="A92">
        <v>2023</v>
      </c>
      <c r="B92">
        <v>2</v>
      </c>
      <c r="C92">
        <v>13210101025</v>
      </c>
      <c r="D92">
        <v>2</v>
      </c>
      <c r="E92">
        <v>1450</v>
      </c>
      <c r="F92" t="s">
        <v>94</v>
      </c>
      <c r="G92" s="1">
        <v>5324</v>
      </c>
      <c r="H92" s="1">
        <v>12314.92</v>
      </c>
      <c r="I92">
        <v>0</v>
      </c>
    </row>
    <row r="93" spans="1:9" x14ac:dyDescent="0.25">
      <c r="A93">
        <v>2023</v>
      </c>
      <c r="B93">
        <v>2</v>
      </c>
      <c r="C93">
        <v>13210101028</v>
      </c>
      <c r="D93">
        <v>5</v>
      </c>
      <c r="E93">
        <v>1916</v>
      </c>
      <c r="F93" t="s">
        <v>95</v>
      </c>
      <c r="G93">
        <v>146.27000000000001</v>
      </c>
      <c r="H93">
        <v>346.99</v>
      </c>
      <c r="I93">
        <v>0</v>
      </c>
    </row>
    <row r="94" spans="1:9" x14ac:dyDescent="0.25">
      <c r="A94">
        <v>2023</v>
      </c>
      <c r="B94">
        <v>2</v>
      </c>
      <c r="C94">
        <v>13210101036</v>
      </c>
      <c r="D94">
        <v>6</v>
      </c>
      <c r="E94">
        <v>1116</v>
      </c>
      <c r="F94" t="s">
        <v>96</v>
      </c>
      <c r="G94">
        <v>5.89</v>
      </c>
      <c r="H94">
        <v>13.01</v>
      </c>
      <c r="I94">
        <v>0</v>
      </c>
    </row>
    <row r="95" spans="1:9" x14ac:dyDescent="0.25">
      <c r="A95">
        <v>2023</v>
      </c>
      <c r="B95">
        <v>2</v>
      </c>
      <c r="C95">
        <v>13210101040</v>
      </c>
      <c r="D95">
        <v>2</v>
      </c>
      <c r="E95">
        <v>1563</v>
      </c>
      <c r="F95" t="s">
        <v>97</v>
      </c>
      <c r="G95">
        <v>33.24</v>
      </c>
      <c r="H95">
        <v>73.36</v>
      </c>
      <c r="I95">
        <v>0</v>
      </c>
    </row>
    <row r="96" spans="1:9" x14ac:dyDescent="0.25">
      <c r="A96">
        <v>2023</v>
      </c>
      <c r="B96">
        <v>2</v>
      </c>
      <c r="C96">
        <v>13210101041</v>
      </c>
      <c r="D96">
        <v>2</v>
      </c>
      <c r="E96">
        <v>1731</v>
      </c>
      <c r="F96" t="s">
        <v>98</v>
      </c>
      <c r="G96" s="1">
        <v>2311.29</v>
      </c>
      <c r="H96" s="1">
        <v>5466.18</v>
      </c>
      <c r="I96" s="1">
        <v>37000</v>
      </c>
    </row>
    <row r="97" spans="1:9" x14ac:dyDescent="0.25">
      <c r="A97">
        <v>2023</v>
      </c>
      <c r="B97">
        <v>2</v>
      </c>
      <c r="C97">
        <v>13210101042</v>
      </c>
      <c r="D97">
        <v>1</v>
      </c>
      <c r="E97">
        <v>1121</v>
      </c>
      <c r="F97" t="s">
        <v>99</v>
      </c>
      <c r="G97" s="1">
        <v>34871.769999999997</v>
      </c>
      <c r="H97" s="1">
        <v>82451.149999999994</v>
      </c>
      <c r="I97" s="1">
        <v>801000</v>
      </c>
    </row>
    <row r="98" spans="1:9" x14ac:dyDescent="0.25">
      <c r="A98">
        <v>2023</v>
      </c>
      <c r="B98">
        <v>2</v>
      </c>
      <c r="C98">
        <v>13210101045</v>
      </c>
      <c r="D98">
        <v>6</v>
      </c>
      <c r="E98">
        <v>1119</v>
      </c>
      <c r="F98" t="s">
        <v>100</v>
      </c>
      <c r="G98" s="1">
        <v>1278.24</v>
      </c>
      <c r="H98" s="1">
        <v>3031.88</v>
      </c>
      <c r="I98">
        <v>0</v>
      </c>
    </row>
    <row r="99" spans="1:9" x14ac:dyDescent="0.25">
      <c r="A99">
        <v>2023</v>
      </c>
      <c r="B99">
        <v>2</v>
      </c>
      <c r="C99">
        <v>13210101048</v>
      </c>
      <c r="D99">
        <v>3</v>
      </c>
      <c r="E99">
        <v>1127</v>
      </c>
      <c r="F99" t="s">
        <v>101</v>
      </c>
      <c r="G99">
        <v>141.30000000000001</v>
      </c>
      <c r="H99">
        <v>374.24</v>
      </c>
      <c r="I99" s="1">
        <v>1000</v>
      </c>
    </row>
    <row r="100" spans="1:9" x14ac:dyDescent="0.25">
      <c r="A100">
        <v>2023</v>
      </c>
      <c r="B100">
        <v>2</v>
      </c>
      <c r="C100">
        <v>13210101049</v>
      </c>
      <c r="D100">
        <v>2</v>
      </c>
      <c r="E100">
        <v>1128</v>
      </c>
      <c r="F100" t="s">
        <v>102</v>
      </c>
      <c r="G100" s="1">
        <v>27201.119999999999</v>
      </c>
      <c r="H100" s="1">
        <v>61009.1</v>
      </c>
      <c r="I100">
        <v>0</v>
      </c>
    </row>
    <row r="101" spans="1:9" x14ac:dyDescent="0.25">
      <c r="A101">
        <v>2023</v>
      </c>
      <c r="B101">
        <v>2</v>
      </c>
      <c r="C101">
        <v>13210101050</v>
      </c>
      <c r="D101">
        <v>3</v>
      </c>
      <c r="E101">
        <v>1129</v>
      </c>
      <c r="F101" t="s">
        <v>103</v>
      </c>
      <c r="G101" s="1">
        <v>30365.21</v>
      </c>
      <c r="H101" s="1">
        <v>73025.14</v>
      </c>
      <c r="I101" s="1">
        <v>285000</v>
      </c>
    </row>
    <row r="102" spans="1:9" x14ac:dyDescent="0.25">
      <c r="A102">
        <v>2023</v>
      </c>
      <c r="B102">
        <v>2</v>
      </c>
      <c r="C102">
        <v>13210101051</v>
      </c>
      <c r="D102">
        <v>3</v>
      </c>
      <c r="E102">
        <v>1130</v>
      </c>
      <c r="F102" t="s">
        <v>104</v>
      </c>
      <c r="G102" s="1">
        <v>9295.24</v>
      </c>
      <c r="H102" s="1">
        <v>25860.3</v>
      </c>
      <c r="I102" s="1">
        <v>136000</v>
      </c>
    </row>
    <row r="103" spans="1:9" x14ac:dyDescent="0.25">
      <c r="A103">
        <v>2023</v>
      </c>
      <c r="B103">
        <v>2</v>
      </c>
      <c r="C103">
        <v>13210101053</v>
      </c>
      <c r="D103">
        <v>3</v>
      </c>
      <c r="E103">
        <v>1143</v>
      </c>
      <c r="F103" t="s">
        <v>105</v>
      </c>
      <c r="G103" s="1">
        <v>1607.49</v>
      </c>
      <c r="H103" s="1">
        <v>4368.3500000000004</v>
      </c>
      <c r="I103" s="1">
        <v>1000</v>
      </c>
    </row>
    <row r="104" spans="1:9" x14ac:dyDescent="0.25">
      <c r="A104">
        <v>2023</v>
      </c>
      <c r="B104">
        <v>2</v>
      </c>
      <c r="C104">
        <v>13210101055</v>
      </c>
      <c r="D104">
        <v>5</v>
      </c>
      <c r="E104">
        <v>1145</v>
      </c>
      <c r="F104" t="s">
        <v>106</v>
      </c>
      <c r="G104" s="1">
        <v>13712.61</v>
      </c>
      <c r="H104" s="1">
        <v>30217.67</v>
      </c>
      <c r="I104">
        <v>0</v>
      </c>
    </row>
    <row r="105" spans="1:9" x14ac:dyDescent="0.25">
      <c r="A105">
        <v>2023</v>
      </c>
      <c r="B105">
        <v>2</v>
      </c>
      <c r="C105">
        <v>13210101056</v>
      </c>
      <c r="D105">
        <v>5</v>
      </c>
      <c r="E105">
        <v>1146</v>
      </c>
      <c r="F105" t="s">
        <v>107</v>
      </c>
      <c r="G105">
        <v>98.41</v>
      </c>
      <c r="H105" s="1">
        <v>1433.15</v>
      </c>
      <c r="I105" s="1">
        <v>13000</v>
      </c>
    </row>
    <row r="106" spans="1:9" x14ac:dyDescent="0.25">
      <c r="A106">
        <v>2023</v>
      </c>
      <c r="B106">
        <v>2</v>
      </c>
      <c r="C106">
        <v>13210101057</v>
      </c>
      <c r="D106">
        <v>5</v>
      </c>
      <c r="E106">
        <v>1147</v>
      </c>
      <c r="F106" t="s">
        <v>108</v>
      </c>
      <c r="G106">
        <v>144.12</v>
      </c>
      <c r="H106">
        <v>318.76</v>
      </c>
      <c r="I106">
        <v>0</v>
      </c>
    </row>
    <row r="107" spans="1:9" x14ac:dyDescent="0.25">
      <c r="A107">
        <v>2023</v>
      </c>
      <c r="B107">
        <v>2</v>
      </c>
      <c r="C107">
        <v>13210101058</v>
      </c>
      <c r="D107">
        <v>2</v>
      </c>
      <c r="E107">
        <v>1148</v>
      </c>
      <c r="F107" t="s">
        <v>109</v>
      </c>
      <c r="G107">
        <v>213.24</v>
      </c>
      <c r="H107">
        <v>470.6</v>
      </c>
      <c r="I107">
        <v>0</v>
      </c>
    </row>
    <row r="108" spans="1:9" x14ac:dyDescent="0.25">
      <c r="A108">
        <v>2023</v>
      </c>
      <c r="B108">
        <v>2</v>
      </c>
      <c r="C108">
        <v>13210101059</v>
      </c>
      <c r="D108">
        <v>3</v>
      </c>
      <c r="E108">
        <v>1149</v>
      </c>
      <c r="F108" t="s">
        <v>110</v>
      </c>
      <c r="G108">
        <v>47.44</v>
      </c>
      <c r="H108">
        <v>125.65</v>
      </c>
      <c r="I108" s="1">
        <v>1000</v>
      </c>
    </row>
    <row r="109" spans="1:9" x14ac:dyDescent="0.25">
      <c r="A109">
        <v>2023</v>
      </c>
      <c r="B109">
        <v>2</v>
      </c>
      <c r="C109">
        <v>13210101060</v>
      </c>
      <c r="D109">
        <v>5</v>
      </c>
      <c r="E109">
        <v>1152</v>
      </c>
      <c r="F109" t="s">
        <v>111</v>
      </c>
      <c r="G109" s="1">
        <v>17118.62</v>
      </c>
      <c r="H109" s="1">
        <v>37723.279999999999</v>
      </c>
      <c r="I109">
        <v>0</v>
      </c>
    </row>
    <row r="110" spans="1:9" x14ac:dyDescent="0.25">
      <c r="A110">
        <v>2023</v>
      </c>
      <c r="B110">
        <v>2</v>
      </c>
      <c r="C110">
        <v>13210101061</v>
      </c>
      <c r="D110">
        <v>3</v>
      </c>
      <c r="E110">
        <v>1999</v>
      </c>
      <c r="F110" t="s">
        <v>112</v>
      </c>
      <c r="G110" s="1">
        <v>1687.09</v>
      </c>
      <c r="H110" s="1">
        <v>4493.93</v>
      </c>
      <c r="I110" s="1">
        <v>14000</v>
      </c>
    </row>
    <row r="111" spans="1:9" x14ac:dyDescent="0.25">
      <c r="A111">
        <v>2023</v>
      </c>
      <c r="B111">
        <v>2</v>
      </c>
      <c r="C111">
        <v>13210101067</v>
      </c>
      <c r="D111">
        <v>3</v>
      </c>
      <c r="E111">
        <v>1158</v>
      </c>
      <c r="F111" t="s">
        <v>113</v>
      </c>
      <c r="G111" s="1">
        <v>19498.18</v>
      </c>
      <c r="H111" s="1">
        <v>51367.9</v>
      </c>
      <c r="I111" s="1">
        <v>213000</v>
      </c>
    </row>
    <row r="112" spans="1:9" x14ac:dyDescent="0.25">
      <c r="A112">
        <v>2023</v>
      </c>
      <c r="B112">
        <v>2</v>
      </c>
      <c r="C112">
        <v>13210101068</v>
      </c>
      <c r="D112">
        <v>1</v>
      </c>
      <c r="E112">
        <v>1159</v>
      </c>
      <c r="F112" t="s">
        <v>114</v>
      </c>
      <c r="G112">
        <v>47.94</v>
      </c>
      <c r="H112">
        <v>105.79</v>
      </c>
      <c r="I112">
        <v>0</v>
      </c>
    </row>
    <row r="113" spans="1:9" x14ac:dyDescent="0.25">
      <c r="A113">
        <v>2023</v>
      </c>
      <c r="B113">
        <v>2</v>
      </c>
      <c r="C113">
        <v>13210101069</v>
      </c>
      <c r="D113">
        <v>7</v>
      </c>
      <c r="E113">
        <v>1160</v>
      </c>
      <c r="F113" t="s">
        <v>115</v>
      </c>
      <c r="G113">
        <v>131.07</v>
      </c>
      <c r="H113">
        <v>289.26</v>
      </c>
      <c r="I113">
        <v>0</v>
      </c>
    </row>
    <row r="114" spans="1:9" x14ac:dyDescent="0.25">
      <c r="A114">
        <v>2023</v>
      </c>
      <c r="B114">
        <v>2</v>
      </c>
      <c r="C114">
        <v>13210101070</v>
      </c>
      <c r="D114">
        <v>1</v>
      </c>
      <c r="E114">
        <v>1066</v>
      </c>
      <c r="F114" t="s">
        <v>116</v>
      </c>
      <c r="G114" s="1">
        <v>3011610.96</v>
      </c>
      <c r="H114" s="1">
        <v>6239567.3499999996</v>
      </c>
      <c r="I114" s="1">
        <v>22852000</v>
      </c>
    </row>
    <row r="115" spans="1:9" x14ac:dyDescent="0.25">
      <c r="A115">
        <v>2023</v>
      </c>
      <c r="B115">
        <v>2</v>
      </c>
      <c r="C115">
        <v>13210101071</v>
      </c>
      <c r="D115">
        <v>1</v>
      </c>
      <c r="E115">
        <v>1112</v>
      </c>
      <c r="F115" t="s">
        <v>117</v>
      </c>
      <c r="G115" s="1">
        <v>12892.01</v>
      </c>
      <c r="H115" s="1">
        <v>28410.26</v>
      </c>
      <c r="I115" s="1">
        <v>103000</v>
      </c>
    </row>
    <row r="116" spans="1:9" x14ac:dyDescent="0.25">
      <c r="A116">
        <v>2023</v>
      </c>
      <c r="B116">
        <v>2</v>
      </c>
      <c r="C116">
        <v>13210101072</v>
      </c>
      <c r="D116">
        <v>1</v>
      </c>
      <c r="E116">
        <v>1117</v>
      </c>
      <c r="F116" t="s">
        <v>118</v>
      </c>
      <c r="G116" s="1">
        <v>3845.06</v>
      </c>
      <c r="H116" s="1">
        <v>5860.41</v>
      </c>
      <c r="I116" s="1">
        <v>32000</v>
      </c>
    </row>
    <row r="117" spans="1:9" x14ac:dyDescent="0.25">
      <c r="A117">
        <v>2023</v>
      </c>
      <c r="B117">
        <v>2</v>
      </c>
      <c r="C117">
        <v>13210101073</v>
      </c>
      <c r="D117">
        <v>1</v>
      </c>
      <c r="E117">
        <v>1118</v>
      </c>
      <c r="F117" t="s">
        <v>119</v>
      </c>
      <c r="G117" s="1">
        <v>23970.48</v>
      </c>
      <c r="H117" s="1">
        <v>56863.55</v>
      </c>
      <c r="I117" s="1">
        <v>158000</v>
      </c>
    </row>
    <row r="118" spans="1:9" x14ac:dyDescent="0.25">
      <c r="A118">
        <v>2023</v>
      </c>
      <c r="B118">
        <v>2</v>
      </c>
      <c r="C118">
        <v>13210101074</v>
      </c>
      <c r="D118">
        <v>5</v>
      </c>
      <c r="E118">
        <v>1125</v>
      </c>
      <c r="F118" t="s">
        <v>120</v>
      </c>
      <c r="G118" s="1">
        <v>368697.8</v>
      </c>
      <c r="H118" s="1">
        <v>785156.07</v>
      </c>
      <c r="I118" s="1">
        <v>3552000</v>
      </c>
    </row>
    <row r="119" spans="1:9" x14ac:dyDescent="0.25">
      <c r="A119">
        <v>2023</v>
      </c>
      <c r="B119">
        <v>2</v>
      </c>
      <c r="C119">
        <v>13210101076</v>
      </c>
      <c r="D119">
        <v>3</v>
      </c>
      <c r="E119">
        <v>1162</v>
      </c>
      <c r="F119" t="s">
        <v>121</v>
      </c>
      <c r="G119">
        <v>71.78</v>
      </c>
      <c r="H119">
        <v>163.56</v>
      </c>
      <c r="I119" s="1">
        <v>2000</v>
      </c>
    </row>
    <row r="120" spans="1:9" x14ac:dyDescent="0.25">
      <c r="A120">
        <v>2023</v>
      </c>
      <c r="B120">
        <v>2</v>
      </c>
      <c r="C120">
        <v>13210101082</v>
      </c>
      <c r="D120">
        <v>5</v>
      </c>
      <c r="E120">
        <v>1168</v>
      </c>
      <c r="F120" t="s">
        <v>122</v>
      </c>
      <c r="G120" s="1">
        <v>5061.8500000000004</v>
      </c>
      <c r="H120" s="1">
        <v>11330.65</v>
      </c>
      <c r="I120">
        <v>0</v>
      </c>
    </row>
    <row r="121" spans="1:9" x14ac:dyDescent="0.25">
      <c r="A121">
        <v>2023</v>
      </c>
      <c r="B121">
        <v>2</v>
      </c>
      <c r="C121">
        <v>13210101083</v>
      </c>
      <c r="D121">
        <v>3</v>
      </c>
      <c r="E121">
        <v>1169</v>
      </c>
      <c r="F121" t="s">
        <v>123</v>
      </c>
      <c r="G121" s="1">
        <v>23815.51</v>
      </c>
      <c r="H121" s="1">
        <v>54715.16</v>
      </c>
      <c r="I121" s="1">
        <v>122000</v>
      </c>
    </row>
    <row r="122" spans="1:9" x14ac:dyDescent="0.25">
      <c r="A122">
        <v>2023</v>
      </c>
      <c r="B122">
        <v>2</v>
      </c>
      <c r="C122">
        <v>13210101085</v>
      </c>
      <c r="D122">
        <v>6</v>
      </c>
      <c r="E122">
        <v>1181</v>
      </c>
      <c r="F122" t="s">
        <v>124</v>
      </c>
      <c r="G122">
        <v>393.67</v>
      </c>
      <c r="H122">
        <v>860.82</v>
      </c>
      <c r="I122" s="1">
        <v>22000</v>
      </c>
    </row>
    <row r="123" spans="1:9" x14ac:dyDescent="0.25">
      <c r="A123">
        <v>2023</v>
      </c>
      <c r="B123">
        <v>2</v>
      </c>
      <c r="C123">
        <v>13210101086</v>
      </c>
      <c r="D123">
        <v>3</v>
      </c>
      <c r="E123">
        <v>1182</v>
      </c>
      <c r="F123" t="s">
        <v>125</v>
      </c>
      <c r="G123" s="1">
        <v>95142.720000000001</v>
      </c>
      <c r="H123" s="1">
        <v>222135.73</v>
      </c>
      <c r="I123" s="1">
        <v>393000</v>
      </c>
    </row>
    <row r="124" spans="1:9" x14ac:dyDescent="0.25">
      <c r="A124">
        <v>2023</v>
      </c>
      <c r="B124">
        <v>2</v>
      </c>
      <c r="C124">
        <v>13210101087</v>
      </c>
      <c r="D124">
        <v>6</v>
      </c>
      <c r="E124">
        <v>1183</v>
      </c>
      <c r="F124" t="s">
        <v>126</v>
      </c>
      <c r="G124" s="1">
        <v>1498.23</v>
      </c>
      <c r="H124" s="1">
        <v>3301.82</v>
      </c>
      <c r="I124">
        <v>0</v>
      </c>
    </row>
    <row r="125" spans="1:9" x14ac:dyDescent="0.25">
      <c r="A125">
        <v>2023</v>
      </c>
      <c r="B125">
        <v>2</v>
      </c>
      <c r="C125">
        <v>13210101089</v>
      </c>
      <c r="D125">
        <v>1</v>
      </c>
      <c r="E125">
        <v>1185</v>
      </c>
      <c r="F125" t="s">
        <v>127</v>
      </c>
      <c r="G125" s="1">
        <v>2035.28</v>
      </c>
      <c r="H125" s="1">
        <v>4424.46</v>
      </c>
      <c r="I125" s="1">
        <v>14000</v>
      </c>
    </row>
    <row r="126" spans="1:9" x14ac:dyDescent="0.25">
      <c r="A126">
        <v>2023</v>
      </c>
      <c r="B126">
        <v>2</v>
      </c>
      <c r="C126">
        <v>13210101093</v>
      </c>
      <c r="D126">
        <v>2</v>
      </c>
      <c r="E126">
        <v>1189</v>
      </c>
      <c r="F126" t="s">
        <v>128</v>
      </c>
      <c r="G126">
        <v>6.34</v>
      </c>
      <c r="H126">
        <v>14</v>
      </c>
      <c r="I126">
        <v>0</v>
      </c>
    </row>
    <row r="127" spans="1:9" x14ac:dyDescent="0.25">
      <c r="A127">
        <v>2023</v>
      </c>
      <c r="B127">
        <v>2</v>
      </c>
      <c r="C127">
        <v>13210101095</v>
      </c>
      <c r="D127">
        <v>6</v>
      </c>
      <c r="E127">
        <v>1191</v>
      </c>
      <c r="F127" t="s">
        <v>129</v>
      </c>
      <c r="G127">
        <v>96.72</v>
      </c>
      <c r="H127">
        <v>213.45</v>
      </c>
      <c r="I127">
        <v>0</v>
      </c>
    </row>
    <row r="128" spans="1:9" x14ac:dyDescent="0.25">
      <c r="A128">
        <v>2023</v>
      </c>
      <c r="B128">
        <v>2</v>
      </c>
      <c r="C128">
        <v>13210101096</v>
      </c>
      <c r="D128">
        <v>6</v>
      </c>
      <c r="E128">
        <v>1192</v>
      </c>
      <c r="F128" t="s">
        <v>130</v>
      </c>
      <c r="G128">
        <v>258.2</v>
      </c>
      <c r="H128">
        <v>578.12</v>
      </c>
      <c r="I128" s="1">
        <v>2000</v>
      </c>
    </row>
    <row r="129" spans="1:9" x14ac:dyDescent="0.25">
      <c r="A129">
        <v>2023</v>
      </c>
      <c r="B129">
        <v>2</v>
      </c>
      <c r="C129">
        <v>13210101098</v>
      </c>
      <c r="D129">
        <v>1</v>
      </c>
      <c r="E129">
        <v>1194</v>
      </c>
      <c r="F129" t="s">
        <v>131</v>
      </c>
      <c r="G129" s="1">
        <v>12473.9</v>
      </c>
      <c r="H129" s="1">
        <v>29500.15</v>
      </c>
      <c r="I129" s="1">
        <v>194000</v>
      </c>
    </row>
    <row r="130" spans="1:9" x14ac:dyDescent="0.25">
      <c r="A130">
        <v>2023</v>
      </c>
      <c r="B130">
        <v>2</v>
      </c>
      <c r="C130">
        <v>13210101100</v>
      </c>
      <c r="D130">
        <v>5</v>
      </c>
      <c r="E130">
        <v>1196</v>
      </c>
      <c r="F130" t="s">
        <v>132</v>
      </c>
      <c r="G130">
        <v>461.52</v>
      </c>
      <c r="H130" s="1">
        <v>1017.03</v>
      </c>
      <c r="I130">
        <v>0</v>
      </c>
    </row>
    <row r="131" spans="1:9" x14ac:dyDescent="0.25">
      <c r="A131">
        <v>2023</v>
      </c>
      <c r="B131">
        <v>2</v>
      </c>
      <c r="C131">
        <v>13210101101</v>
      </c>
      <c r="D131">
        <v>5</v>
      </c>
      <c r="E131">
        <v>1197</v>
      </c>
      <c r="F131" t="s">
        <v>133</v>
      </c>
      <c r="G131">
        <v>565.07000000000005</v>
      </c>
      <c r="H131" s="1">
        <v>1245.18</v>
      </c>
      <c r="I131">
        <v>0</v>
      </c>
    </row>
    <row r="132" spans="1:9" x14ac:dyDescent="0.25">
      <c r="A132">
        <v>2023</v>
      </c>
      <c r="B132">
        <v>2</v>
      </c>
      <c r="C132">
        <v>13210101103</v>
      </c>
      <c r="D132">
        <v>6</v>
      </c>
      <c r="E132">
        <v>1199</v>
      </c>
      <c r="F132" t="s">
        <v>134</v>
      </c>
      <c r="G132">
        <v>7.11</v>
      </c>
      <c r="H132">
        <v>15.73</v>
      </c>
      <c r="I132">
        <v>0</v>
      </c>
    </row>
    <row r="133" spans="1:9" x14ac:dyDescent="0.25">
      <c r="A133">
        <v>2023</v>
      </c>
      <c r="B133">
        <v>2</v>
      </c>
      <c r="C133">
        <v>13210101107</v>
      </c>
      <c r="D133">
        <v>6</v>
      </c>
      <c r="E133">
        <v>1215</v>
      </c>
      <c r="F133" t="s">
        <v>135</v>
      </c>
      <c r="G133" s="1">
        <v>43215.17</v>
      </c>
      <c r="H133" s="1">
        <v>95230.74</v>
      </c>
      <c r="I133">
        <v>0</v>
      </c>
    </row>
    <row r="134" spans="1:9" x14ac:dyDescent="0.25">
      <c r="A134">
        <v>2023</v>
      </c>
      <c r="B134">
        <v>2</v>
      </c>
      <c r="C134">
        <v>13210101108</v>
      </c>
      <c r="D134">
        <v>6</v>
      </c>
      <c r="E134">
        <v>1216</v>
      </c>
      <c r="F134" t="s">
        <v>136</v>
      </c>
      <c r="G134" s="1">
        <v>5608.12</v>
      </c>
      <c r="H134" s="1">
        <v>10578.5</v>
      </c>
      <c r="I134">
        <v>0</v>
      </c>
    </row>
    <row r="135" spans="1:9" x14ac:dyDescent="0.25">
      <c r="A135">
        <v>2023</v>
      </c>
      <c r="B135">
        <v>2</v>
      </c>
      <c r="C135">
        <v>13210101109</v>
      </c>
      <c r="D135">
        <v>6</v>
      </c>
      <c r="E135">
        <v>1217</v>
      </c>
      <c r="F135" t="s">
        <v>137</v>
      </c>
      <c r="G135" s="1">
        <v>48383.56</v>
      </c>
      <c r="H135" s="1">
        <v>106620.01</v>
      </c>
      <c r="I135">
        <v>0</v>
      </c>
    </row>
    <row r="136" spans="1:9" x14ac:dyDescent="0.25">
      <c r="A136">
        <v>2023</v>
      </c>
      <c r="B136">
        <v>2</v>
      </c>
      <c r="C136">
        <v>13210101110</v>
      </c>
      <c r="D136">
        <v>6</v>
      </c>
      <c r="E136">
        <v>1218</v>
      </c>
      <c r="F136" t="s">
        <v>138</v>
      </c>
      <c r="G136">
        <v>490.71</v>
      </c>
      <c r="H136" s="1">
        <v>1085.3399999999999</v>
      </c>
      <c r="I136">
        <v>0</v>
      </c>
    </row>
    <row r="137" spans="1:9" x14ac:dyDescent="0.25">
      <c r="A137">
        <v>2023</v>
      </c>
      <c r="B137">
        <v>2</v>
      </c>
      <c r="C137">
        <v>13210101112</v>
      </c>
      <c r="D137">
        <v>5</v>
      </c>
      <c r="E137">
        <v>1222</v>
      </c>
      <c r="F137" t="s">
        <v>139</v>
      </c>
      <c r="G137">
        <v>1.08</v>
      </c>
      <c r="H137">
        <v>2.38</v>
      </c>
      <c r="I137">
        <v>0</v>
      </c>
    </row>
    <row r="138" spans="1:9" x14ac:dyDescent="0.25">
      <c r="A138">
        <v>2023</v>
      </c>
      <c r="B138">
        <v>2</v>
      </c>
      <c r="C138">
        <v>13210101113</v>
      </c>
      <c r="D138">
        <v>5</v>
      </c>
      <c r="E138">
        <v>1223</v>
      </c>
      <c r="F138" t="s">
        <v>140</v>
      </c>
      <c r="G138">
        <v>6.37</v>
      </c>
      <c r="H138">
        <v>14.09</v>
      </c>
      <c r="I138">
        <v>0</v>
      </c>
    </row>
    <row r="139" spans="1:9" x14ac:dyDescent="0.25">
      <c r="A139">
        <v>2023</v>
      </c>
      <c r="B139">
        <v>2</v>
      </c>
      <c r="C139">
        <v>13210101114</v>
      </c>
      <c r="D139">
        <v>5</v>
      </c>
      <c r="E139">
        <v>1224</v>
      </c>
      <c r="F139" t="s">
        <v>141</v>
      </c>
      <c r="G139">
        <v>8.0299999999999994</v>
      </c>
      <c r="H139">
        <v>17.73</v>
      </c>
      <c r="I139">
        <v>0</v>
      </c>
    </row>
    <row r="140" spans="1:9" x14ac:dyDescent="0.25">
      <c r="A140">
        <v>2023</v>
      </c>
      <c r="B140">
        <v>2</v>
      </c>
      <c r="C140">
        <v>13210101115</v>
      </c>
      <c r="D140">
        <v>3</v>
      </c>
      <c r="E140">
        <v>1225</v>
      </c>
      <c r="F140" t="s">
        <v>142</v>
      </c>
      <c r="G140" s="1">
        <v>29296.78</v>
      </c>
      <c r="H140" s="1">
        <v>93697.05</v>
      </c>
      <c r="I140" s="1">
        <v>240000</v>
      </c>
    </row>
    <row r="141" spans="1:9" x14ac:dyDescent="0.25">
      <c r="A141">
        <v>2023</v>
      </c>
      <c r="B141">
        <v>2</v>
      </c>
      <c r="C141">
        <v>13210101117</v>
      </c>
      <c r="D141">
        <v>6</v>
      </c>
      <c r="E141">
        <v>1227</v>
      </c>
      <c r="F141" t="s">
        <v>143</v>
      </c>
      <c r="G141">
        <v>29.02</v>
      </c>
      <c r="H141">
        <v>64.17</v>
      </c>
      <c r="I141">
        <v>0</v>
      </c>
    </row>
    <row r="142" spans="1:9" x14ac:dyDescent="0.25">
      <c r="A142">
        <v>2023</v>
      </c>
      <c r="B142">
        <v>2</v>
      </c>
      <c r="C142">
        <v>13210101128</v>
      </c>
      <c r="D142">
        <v>3</v>
      </c>
      <c r="E142">
        <v>1238</v>
      </c>
      <c r="F142" t="s">
        <v>144</v>
      </c>
      <c r="G142">
        <v>928.5</v>
      </c>
      <c r="H142" s="1">
        <v>2046.08</v>
      </c>
      <c r="I142">
        <v>0</v>
      </c>
    </row>
    <row r="143" spans="1:9" x14ac:dyDescent="0.25">
      <c r="A143">
        <v>2023</v>
      </c>
      <c r="B143">
        <v>2</v>
      </c>
      <c r="C143">
        <v>13210101131</v>
      </c>
      <c r="D143">
        <v>6</v>
      </c>
      <c r="E143">
        <v>1243</v>
      </c>
      <c r="F143" t="s">
        <v>145</v>
      </c>
      <c r="G143">
        <v>425.71</v>
      </c>
      <c r="H143">
        <v>941.57</v>
      </c>
      <c r="I143">
        <v>0</v>
      </c>
    </row>
    <row r="144" spans="1:9" x14ac:dyDescent="0.25">
      <c r="A144">
        <v>2023</v>
      </c>
      <c r="B144">
        <v>2</v>
      </c>
      <c r="C144">
        <v>13210101132</v>
      </c>
      <c r="D144">
        <v>2</v>
      </c>
      <c r="E144">
        <v>1245</v>
      </c>
      <c r="F144" t="s">
        <v>146</v>
      </c>
      <c r="G144">
        <v>390.29</v>
      </c>
      <c r="H144">
        <v>956.24</v>
      </c>
      <c r="I144">
        <v>0</v>
      </c>
    </row>
    <row r="145" spans="1:9" x14ac:dyDescent="0.25">
      <c r="A145">
        <v>2023</v>
      </c>
      <c r="B145">
        <v>2</v>
      </c>
      <c r="C145">
        <v>13210101133</v>
      </c>
      <c r="D145">
        <v>6</v>
      </c>
      <c r="E145">
        <v>1246</v>
      </c>
      <c r="F145" t="s">
        <v>147</v>
      </c>
      <c r="G145" s="1">
        <v>93323.28</v>
      </c>
      <c r="H145" s="1">
        <v>204253.93</v>
      </c>
      <c r="I145">
        <v>0</v>
      </c>
    </row>
    <row r="146" spans="1:9" x14ac:dyDescent="0.25">
      <c r="A146">
        <v>2023</v>
      </c>
      <c r="B146">
        <v>2</v>
      </c>
      <c r="C146">
        <v>13210101134</v>
      </c>
      <c r="D146">
        <v>1</v>
      </c>
      <c r="E146">
        <v>1247</v>
      </c>
      <c r="F146" t="s">
        <v>148</v>
      </c>
      <c r="G146" s="1">
        <v>3561.9</v>
      </c>
      <c r="H146" s="1">
        <v>7849.15</v>
      </c>
      <c r="I146">
        <v>0</v>
      </c>
    </row>
    <row r="147" spans="1:9" x14ac:dyDescent="0.25">
      <c r="A147">
        <v>2023</v>
      </c>
      <c r="B147">
        <v>2</v>
      </c>
      <c r="C147">
        <v>13210101135</v>
      </c>
      <c r="D147">
        <v>2</v>
      </c>
      <c r="E147">
        <v>1248</v>
      </c>
      <c r="F147" t="s">
        <v>149</v>
      </c>
      <c r="G147" s="1">
        <v>3093.03</v>
      </c>
      <c r="H147" s="1">
        <v>6815.93</v>
      </c>
      <c r="I147">
        <v>0</v>
      </c>
    </row>
    <row r="148" spans="1:9" x14ac:dyDescent="0.25">
      <c r="A148">
        <v>2023</v>
      </c>
      <c r="B148">
        <v>2</v>
      </c>
      <c r="C148">
        <v>13210101137</v>
      </c>
      <c r="D148">
        <v>2</v>
      </c>
      <c r="E148">
        <v>1250</v>
      </c>
      <c r="F148" t="s">
        <v>150</v>
      </c>
      <c r="G148">
        <v>9.61</v>
      </c>
      <c r="H148">
        <v>21.21</v>
      </c>
      <c r="I148">
        <v>0</v>
      </c>
    </row>
    <row r="149" spans="1:9" x14ac:dyDescent="0.25">
      <c r="A149">
        <v>2023</v>
      </c>
      <c r="B149">
        <v>2</v>
      </c>
      <c r="C149">
        <v>13210101138</v>
      </c>
      <c r="D149">
        <v>5</v>
      </c>
      <c r="E149">
        <v>1251</v>
      </c>
      <c r="F149" t="s">
        <v>151</v>
      </c>
      <c r="G149">
        <v>95.43</v>
      </c>
      <c r="H149">
        <v>326.87</v>
      </c>
      <c r="I149">
        <v>0</v>
      </c>
    </row>
    <row r="150" spans="1:9" x14ac:dyDescent="0.25">
      <c r="A150">
        <v>2023</v>
      </c>
      <c r="B150">
        <v>2</v>
      </c>
      <c r="C150">
        <v>13210101140</v>
      </c>
      <c r="D150">
        <v>3</v>
      </c>
      <c r="E150">
        <v>1254</v>
      </c>
      <c r="F150" t="s">
        <v>152</v>
      </c>
      <c r="G150" s="1">
        <v>68064.08</v>
      </c>
      <c r="H150" s="1">
        <v>150235.06</v>
      </c>
      <c r="I150" s="1">
        <v>447000</v>
      </c>
    </row>
    <row r="151" spans="1:9" x14ac:dyDescent="0.25">
      <c r="A151">
        <v>2023</v>
      </c>
      <c r="B151">
        <v>2</v>
      </c>
      <c r="C151">
        <v>13210101141</v>
      </c>
      <c r="D151">
        <v>2</v>
      </c>
      <c r="E151">
        <v>1263</v>
      </c>
      <c r="F151" t="s">
        <v>153</v>
      </c>
      <c r="G151">
        <v>29.17</v>
      </c>
      <c r="H151">
        <v>64.37</v>
      </c>
      <c r="I151">
        <v>0</v>
      </c>
    </row>
    <row r="152" spans="1:9" x14ac:dyDescent="0.25">
      <c r="A152">
        <v>2023</v>
      </c>
      <c r="B152">
        <v>2</v>
      </c>
      <c r="C152">
        <v>13210101142</v>
      </c>
      <c r="D152">
        <v>5</v>
      </c>
      <c r="E152">
        <v>1255</v>
      </c>
      <c r="F152" t="s">
        <v>154</v>
      </c>
      <c r="G152" s="1">
        <v>4052.37</v>
      </c>
      <c r="H152" s="1">
        <v>8944.2800000000007</v>
      </c>
      <c r="I152">
        <v>0</v>
      </c>
    </row>
    <row r="153" spans="1:9" x14ac:dyDescent="0.25">
      <c r="A153">
        <v>2023</v>
      </c>
      <c r="B153">
        <v>2</v>
      </c>
      <c r="C153">
        <v>13210101144</v>
      </c>
      <c r="D153">
        <v>5</v>
      </c>
      <c r="E153">
        <v>1261</v>
      </c>
      <c r="F153" t="s">
        <v>155</v>
      </c>
      <c r="G153">
        <v>82.76</v>
      </c>
      <c r="H153">
        <v>169.76</v>
      </c>
      <c r="I153">
        <v>0</v>
      </c>
    </row>
    <row r="154" spans="1:9" x14ac:dyDescent="0.25">
      <c r="A154">
        <v>2023</v>
      </c>
      <c r="B154">
        <v>2</v>
      </c>
      <c r="C154">
        <v>13210101145</v>
      </c>
      <c r="D154">
        <v>2</v>
      </c>
      <c r="E154">
        <v>1262</v>
      </c>
      <c r="F154" t="s">
        <v>156</v>
      </c>
      <c r="G154" s="1">
        <v>2344.13</v>
      </c>
      <c r="H154" s="1">
        <v>5165.62</v>
      </c>
      <c r="I154">
        <v>0</v>
      </c>
    </row>
    <row r="155" spans="1:9" x14ac:dyDescent="0.25">
      <c r="A155">
        <v>2023</v>
      </c>
      <c r="B155">
        <v>2</v>
      </c>
      <c r="C155">
        <v>13210101146</v>
      </c>
      <c r="D155">
        <v>6</v>
      </c>
      <c r="E155">
        <v>1253</v>
      </c>
      <c r="F155" t="s">
        <v>157</v>
      </c>
      <c r="G155">
        <v>155.4</v>
      </c>
      <c r="H155">
        <v>338.62</v>
      </c>
      <c r="I155">
        <v>0</v>
      </c>
    </row>
    <row r="156" spans="1:9" x14ac:dyDescent="0.25">
      <c r="A156">
        <v>2023</v>
      </c>
      <c r="B156">
        <v>2</v>
      </c>
      <c r="C156">
        <v>13210101147</v>
      </c>
      <c r="D156">
        <v>2</v>
      </c>
      <c r="E156">
        <v>1264</v>
      </c>
      <c r="F156" t="s">
        <v>158</v>
      </c>
      <c r="G156">
        <v>1.25</v>
      </c>
      <c r="H156">
        <v>4.3</v>
      </c>
      <c r="I156">
        <v>0</v>
      </c>
    </row>
    <row r="157" spans="1:9" x14ac:dyDescent="0.25">
      <c r="A157">
        <v>2023</v>
      </c>
      <c r="B157">
        <v>2</v>
      </c>
      <c r="C157">
        <v>13210101148</v>
      </c>
      <c r="D157">
        <v>5</v>
      </c>
      <c r="E157">
        <v>1265</v>
      </c>
      <c r="F157" t="s">
        <v>159</v>
      </c>
      <c r="G157" s="1">
        <v>2598.1799999999998</v>
      </c>
      <c r="H157" s="1">
        <v>6275.99</v>
      </c>
      <c r="I157">
        <v>0</v>
      </c>
    </row>
    <row r="158" spans="1:9" x14ac:dyDescent="0.25">
      <c r="A158">
        <v>2023</v>
      </c>
      <c r="B158">
        <v>2</v>
      </c>
      <c r="C158">
        <v>13210101149</v>
      </c>
      <c r="D158">
        <v>6</v>
      </c>
      <c r="E158">
        <v>1266</v>
      </c>
      <c r="F158" t="s">
        <v>160</v>
      </c>
      <c r="G158" s="1">
        <v>157084.47</v>
      </c>
      <c r="H158" s="1">
        <v>346157.81</v>
      </c>
      <c r="I158">
        <v>0</v>
      </c>
    </row>
    <row r="159" spans="1:9" x14ac:dyDescent="0.25">
      <c r="A159">
        <v>2023</v>
      </c>
      <c r="B159">
        <v>2</v>
      </c>
      <c r="C159">
        <v>13210101150</v>
      </c>
      <c r="D159">
        <v>5</v>
      </c>
      <c r="E159">
        <v>1267</v>
      </c>
      <c r="F159" t="s">
        <v>161</v>
      </c>
      <c r="G159">
        <v>301.72000000000003</v>
      </c>
      <c r="H159" s="1">
        <v>1277</v>
      </c>
      <c r="I159" s="1">
        <v>36000</v>
      </c>
    </row>
    <row r="160" spans="1:9" x14ac:dyDescent="0.25">
      <c r="A160">
        <v>2023</v>
      </c>
      <c r="B160">
        <v>2</v>
      </c>
      <c r="C160">
        <v>13210101151</v>
      </c>
      <c r="D160">
        <v>1</v>
      </c>
      <c r="E160">
        <v>1268</v>
      </c>
      <c r="F160" t="s">
        <v>162</v>
      </c>
      <c r="G160" s="1">
        <v>1232.94</v>
      </c>
      <c r="H160" s="1">
        <v>2550.9699999999998</v>
      </c>
      <c r="I160">
        <v>0</v>
      </c>
    </row>
    <row r="161" spans="1:9" x14ac:dyDescent="0.25">
      <c r="A161">
        <v>2023</v>
      </c>
      <c r="B161">
        <v>2</v>
      </c>
      <c r="C161">
        <v>13210101152</v>
      </c>
      <c r="D161">
        <v>5</v>
      </c>
      <c r="E161">
        <v>1269</v>
      </c>
      <c r="F161" t="s">
        <v>163</v>
      </c>
      <c r="G161">
        <v>327.37</v>
      </c>
      <c r="H161" s="1">
        <v>1336.14</v>
      </c>
      <c r="I161">
        <v>0</v>
      </c>
    </row>
    <row r="162" spans="1:9" x14ac:dyDescent="0.25">
      <c r="A162">
        <v>2023</v>
      </c>
      <c r="B162">
        <v>2</v>
      </c>
      <c r="C162">
        <v>13210101154</v>
      </c>
      <c r="D162">
        <v>2</v>
      </c>
      <c r="E162">
        <v>1271</v>
      </c>
      <c r="F162" t="s">
        <v>164</v>
      </c>
      <c r="G162">
        <v>591.86</v>
      </c>
      <c r="H162" s="1">
        <v>1303.93</v>
      </c>
      <c r="I162">
        <v>0</v>
      </c>
    </row>
    <row r="163" spans="1:9" x14ac:dyDescent="0.25">
      <c r="A163">
        <v>2023</v>
      </c>
      <c r="B163">
        <v>2</v>
      </c>
      <c r="C163">
        <v>13210101157</v>
      </c>
      <c r="D163">
        <v>2</v>
      </c>
      <c r="E163">
        <v>1274</v>
      </c>
      <c r="F163" t="s">
        <v>165</v>
      </c>
      <c r="G163" s="1">
        <v>14921.85</v>
      </c>
      <c r="H163" s="1">
        <v>26489.41</v>
      </c>
      <c r="I163" s="1">
        <v>240000</v>
      </c>
    </row>
    <row r="164" spans="1:9" x14ac:dyDescent="0.25">
      <c r="A164">
        <v>2023</v>
      </c>
      <c r="B164">
        <v>2</v>
      </c>
      <c r="C164">
        <v>13210101158</v>
      </c>
      <c r="D164">
        <v>2</v>
      </c>
      <c r="E164">
        <v>1278</v>
      </c>
      <c r="F164" t="s">
        <v>166</v>
      </c>
      <c r="G164" s="1">
        <v>6385.11</v>
      </c>
      <c r="H164" s="1">
        <v>14070.48</v>
      </c>
      <c r="I164">
        <v>0</v>
      </c>
    </row>
    <row r="165" spans="1:9" x14ac:dyDescent="0.25">
      <c r="A165">
        <v>2023</v>
      </c>
      <c r="B165">
        <v>2</v>
      </c>
      <c r="C165">
        <v>13210101159</v>
      </c>
      <c r="D165">
        <v>5</v>
      </c>
      <c r="E165">
        <v>1277</v>
      </c>
      <c r="F165" t="s">
        <v>167</v>
      </c>
      <c r="G165">
        <v>402.76</v>
      </c>
      <c r="H165">
        <v>890.82</v>
      </c>
      <c r="I165">
        <v>0</v>
      </c>
    </row>
    <row r="166" spans="1:9" x14ac:dyDescent="0.25">
      <c r="A166">
        <v>2023</v>
      </c>
      <c r="B166">
        <v>2</v>
      </c>
      <c r="C166">
        <v>13210101160</v>
      </c>
      <c r="D166">
        <v>2</v>
      </c>
      <c r="E166">
        <v>1012</v>
      </c>
      <c r="F166" t="s">
        <v>168</v>
      </c>
      <c r="G166">
        <v>702.09</v>
      </c>
      <c r="H166" s="1">
        <v>1619.18</v>
      </c>
      <c r="I166">
        <v>0</v>
      </c>
    </row>
    <row r="167" spans="1:9" x14ac:dyDescent="0.25">
      <c r="A167">
        <v>2023</v>
      </c>
      <c r="B167">
        <v>2</v>
      </c>
      <c r="C167">
        <v>13210101161</v>
      </c>
      <c r="D167">
        <v>2</v>
      </c>
      <c r="E167">
        <v>1013</v>
      </c>
      <c r="F167" t="s">
        <v>169</v>
      </c>
      <c r="G167">
        <v>236.39</v>
      </c>
      <c r="H167">
        <v>521.70000000000005</v>
      </c>
      <c r="I167">
        <v>0</v>
      </c>
    </row>
    <row r="168" spans="1:9" x14ac:dyDescent="0.25">
      <c r="A168">
        <v>2023</v>
      </c>
      <c r="B168">
        <v>2</v>
      </c>
      <c r="C168">
        <v>13210101162</v>
      </c>
      <c r="D168">
        <v>5</v>
      </c>
      <c r="E168">
        <v>1256</v>
      </c>
      <c r="F168" t="s">
        <v>170</v>
      </c>
      <c r="G168" s="1">
        <v>18485.71</v>
      </c>
      <c r="H168" s="1">
        <v>40810.53</v>
      </c>
      <c r="I168">
        <v>0</v>
      </c>
    </row>
    <row r="169" spans="1:9" x14ac:dyDescent="0.25">
      <c r="A169">
        <v>2023</v>
      </c>
      <c r="B169">
        <v>2</v>
      </c>
      <c r="C169">
        <v>13210101163</v>
      </c>
      <c r="D169">
        <v>2</v>
      </c>
      <c r="E169">
        <v>1014</v>
      </c>
      <c r="F169" t="s">
        <v>171</v>
      </c>
      <c r="G169">
        <v>363.92</v>
      </c>
      <c r="H169">
        <v>803.14</v>
      </c>
      <c r="I169">
        <v>0</v>
      </c>
    </row>
    <row r="170" spans="1:9" x14ac:dyDescent="0.25">
      <c r="A170">
        <v>2023</v>
      </c>
      <c r="B170">
        <v>2</v>
      </c>
      <c r="C170">
        <v>13210101166</v>
      </c>
      <c r="D170">
        <v>2</v>
      </c>
      <c r="E170">
        <v>1285</v>
      </c>
      <c r="F170" t="s">
        <v>172</v>
      </c>
      <c r="G170" s="1">
        <v>4140.1400000000003</v>
      </c>
      <c r="H170" s="1">
        <v>9123.39</v>
      </c>
      <c r="I170">
        <v>0</v>
      </c>
    </row>
    <row r="171" spans="1:9" x14ac:dyDescent="0.25">
      <c r="A171">
        <v>2023</v>
      </c>
      <c r="B171">
        <v>2</v>
      </c>
      <c r="C171">
        <v>13210101167</v>
      </c>
      <c r="D171">
        <v>2</v>
      </c>
      <c r="E171">
        <v>1016</v>
      </c>
      <c r="F171" t="s">
        <v>173</v>
      </c>
      <c r="G171">
        <v>13.21</v>
      </c>
      <c r="H171">
        <v>29.16</v>
      </c>
      <c r="I171">
        <v>0</v>
      </c>
    </row>
    <row r="172" spans="1:9" x14ac:dyDescent="0.25">
      <c r="A172">
        <v>2023</v>
      </c>
      <c r="B172">
        <v>2</v>
      </c>
      <c r="C172">
        <v>13210101168</v>
      </c>
      <c r="D172">
        <v>5</v>
      </c>
      <c r="E172">
        <v>1282</v>
      </c>
      <c r="F172" t="s">
        <v>174</v>
      </c>
      <c r="G172">
        <v>959</v>
      </c>
      <c r="H172" s="1">
        <v>2116.31</v>
      </c>
      <c r="I172">
        <v>0</v>
      </c>
    </row>
    <row r="173" spans="1:9" x14ac:dyDescent="0.25">
      <c r="A173">
        <v>2023</v>
      </c>
      <c r="B173">
        <v>2</v>
      </c>
      <c r="C173">
        <v>13210101169</v>
      </c>
      <c r="D173">
        <v>1</v>
      </c>
      <c r="E173">
        <v>1286</v>
      </c>
      <c r="F173" t="s">
        <v>175</v>
      </c>
      <c r="G173" s="1">
        <v>4619.1499999999996</v>
      </c>
      <c r="H173" s="1">
        <v>4619.1499999999996</v>
      </c>
      <c r="I173">
        <v>0</v>
      </c>
    </row>
    <row r="174" spans="1:9" x14ac:dyDescent="0.25">
      <c r="A174">
        <v>2023</v>
      </c>
      <c r="B174">
        <v>2</v>
      </c>
      <c r="C174">
        <v>13220000000</v>
      </c>
      <c r="F174" t="s">
        <v>176</v>
      </c>
      <c r="G174">
        <v>0</v>
      </c>
      <c r="H174">
        <v>0</v>
      </c>
      <c r="I174" s="1">
        <v>99000</v>
      </c>
    </row>
    <row r="175" spans="1:9" x14ac:dyDescent="0.25">
      <c r="A175">
        <v>2023</v>
      </c>
      <c r="B175">
        <v>2</v>
      </c>
      <c r="C175">
        <v>13220100000</v>
      </c>
      <c r="F175" t="s">
        <v>176</v>
      </c>
      <c r="G175">
        <v>0</v>
      </c>
      <c r="H175">
        <v>0</v>
      </c>
      <c r="I175" s="1">
        <v>99000</v>
      </c>
    </row>
    <row r="176" spans="1:9" x14ac:dyDescent="0.25">
      <c r="A176">
        <v>2023</v>
      </c>
      <c r="B176">
        <v>2</v>
      </c>
      <c r="C176">
        <v>13220101001</v>
      </c>
      <c r="D176">
        <v>1</v>
      </c>
      <c r="E176">
        <v>1058</v>
      </c>
      <c r="F176" t="s">
        <v>177</v>
      </c>
      <c r="G176">
        <v>0</v>
      </c>
      <c r="H176">
        <v>0</v>
      </c>
      <c r="I176" s="1">
        <v>99000</v>
      </c>
    </row>
    <row r="177" spans="1:9" x14ac:dyDescent="0.25">
      <c r="A177">
        <v>2023</v>
      </c>
      <c r="B177">
        <v>2</v>
      </c>
      <c r="C177">
        <v>17000000000</v>
      </c>
      <c r="F177" t="s">
        <v>178</v>
      </c>
      <c r="G177" s="1">
        <v>195895281.87</v>
      </c>
      <c r="H177" s="1">
        <v>486406851.37</v>
      </c>
      <c r="I177" s="1">
        <v>2486335000</v>
      </c>
    </row>
    <row r="178" spans="1:9" x14ac:dyDescent="0.25">
      <c r="A178">
        <v>2023</v>
      </c>
      <c r="B178">
        <v>2</v>
      </c>
      <c r="C178">
        <v>17100000000</v>
      </c>
      <c r="F178" t="s">
        <v>179</v>
      </c>
      <c r="G178" s="1">
        <v>34534636.299999997</v>
      </c>
      <c r="H178" s="1">
        <v>67670233.439999998</v>
      </c>
      <c r="I178" s="1">
        <v>389736000</v>
      </c>
    </row>
    <row r="179" spans="1:9" x14ac:dyDescent="0.25">
      <c r="A179">
        <v>2023</v>
      </c>
      <c r="B179">
        <v>2</v>
      </c>
      <c r="C179">
        <v>17110000000</v>
      </c>
      <c r="F179" t="s">
        <v>180</v>
      </c>
      <c r="G179" s="1">
        <v>13389590.42</v>
      </c>
      <c r="H179" s="1">
        <v>23392707.02</v>
      </c>
      <c r="I179" s="1">
        <v>122321000</v>
      </c>
    </row>
    <row r="180" spans="1:9" x14ac:dyDescent="0.25">
      <c r="A180">
        <v>2023</v>
      </c>
      <c r="B180">
        <v>2</v>
      </c>
      <c r="C180">
        <v>17115100000</v>
      </c>
      <c r="F180" t="s">
        <v>181</v>
      </c>
      <c r="G180" s="1">
        <v>13384068.390000001</v>
      </c>
      <c r="H180" s="1">
        <v>23383736.91</v>
      </c>
      <c r="I180" s="1">
        <v>122033000</v>
      </c>
    </row>
    <row r="181" spans="1:9" x14ac:dyDescent="0.25">
      <c r="A181">
        <v>2023</v>
      </c>
      <c r="B181">
        <v>2</v>
      </c>
      <c r="C181">
        <v>17115110000</v>
      </c>
      <c r="F181" t="s">
        <v>182</v>
      </c>
      <c r="G181" s="1">
        <v>13384068.390000001</v>
      </c>
      <c r="H181" s="1">
        <v>23383736.91</v>
      </c>
      <c r="I181" s="1">
        <v>112637000</v>
      </c>
    </row>
    <row r="182" spans="1:9" x14ac:dyDescent="0.25">
      <c r="A182">
        <v>2023</v>
      </c>
      <c r="B182">
        <v>2</v>
      </c>
      <c r="C182">
        <v>17115111001</v>
      </c>
      <c r="D182">
        <v>1</v>
      </c>
      <c r="E182">
        <v>1163</v>
      </c>
      <c r="F182" t="s">
        <v>183</v>
      </c>
      <c r="G182" s="1">
        <v>13384068.390000001</v>
      </c>
      <c r="H182" s="1">
        <v>23383736.91</v>
      </c>
      <c r="I182" s="1">
        <v>112637000</v>
      </c>
    </row>
    <row r="183" spans="1:9" x14ac:dyDescent="0.25">
      <c r="A183">
        <v>2023</v>
      </c>
      <c r="B183">
        <v>2</v>
      </c>
      <c r="C183">
        <v>17115120000</v>
      </c>
      <c r="F183" t="s">
        <v>184</v>
      </c>
      <c r="G183">
        <v>0</v>
      </c>
      <c r="H183">
        <v>0</v>
      </c>
      <c r="I183" s="1">
        <v>9396000</v>
      </c>
    </row>
    <row r="184" spans="1:9" x14ac:dyDescent="0.25">
      <c r="A184">
        <v>2023</v>
      </c>
      <c r="B184">
        <v>2</v>
      </c>
      <c r="C184">
        <v>17115121001</v>
      </c>
      <c r="D184">
        <v>1</v>
      </c>
      <c r="E184">
        <v>2962</v>
      </c>
      <c r="F184" t="s">
        <v>185</v>
      </c>
      <c r="G184">
        <v>0</v>
      </c>
      <c r="H184">
        <v>0</v>
      </c>
      <c r="I184" s="1">
        <v>4465000</v>
      </c>
    </row>
    <row r="185" spans="1:9" x14ac:dyDescent="0.25">
      <c r="A185">
        <v>2023</v>
      </c>
      <c r="B185">
        <v>2</v>
      </c>
      <c r="C185">
        <v>17115121002</v>
      </c>
      <c r="D185">
        <v>1</v>
      </c>
      <c r="E185">
        <v>2961</v>
      </c>
      <c r="F185" t="s">
        <v>186</v>
      </c>
      <c r="G185">
        <v>0</v>
      </c>
      <c r="H185">
        <v>0</v>
      </c>
      <c r="I185" s="1">
        <v>3945000</v>
      </c>
    </row>
    <row r="186" spans="1:9" x14ac:dyDescent="0.25">
      <c r="A186">
        <v>2023</v>
      </c>
      <c r="B186">
        <v>2</v>
      </c>
      <c r="C186">
        <v>17115121003</v>
      </c>
      <c r="D186">
        <v>1</v>
      </c>
      <c r="E186">
        <v>2013</v>
      </c>
      <c r="F186" t="s">
        <v>187</v>
      </c>
      <c r="G186">
        <v>0</v>
      </c>
      <c r="H186">
        <v>0</v>
      </c>
      <c r="I186" s="1">
        <v>986000</v>
      </c>
    </row>
    <row r="187" spans="1:9" x14ac:dyDescent="0.25">
      <c r="A187">
        <v>2023</v>
      </c>
      <c r="B187">
        <v>2</v>
      </c>
      <c r="C187">
        <v>17115200000</v>
      </c>
      <c r="F187" t="s">
        <v>188</v>
      </c>
      <c r="G187" s="1">
        <v>5522.03</v>
      </c>
      <c r="H187" s="1">
        <v>8970.11</v>
      </c>
      <c r="I187" s="1">
        <v>288000</v>
      </c>
    </row>
    <row r="188" spans="1:9" x14ac:dyDescent="0.25">
      <c r="A188">
        <v>2023</v>
      </c>
      <c r="B188">
        <v>2</v>
      </c>
      <c r="C188">
        <v>17115201001</v>
      </c>
      <c r="D188">
        <v>1</v>
      </c>
      <c r="E188">
        <v>1198</v>
      </c>
      <c r="F188" t="s">
        <v>189</v>
      </c>
      <c r="G188" s="1">
        <v>5522.03</v>
      </c>
      <c r="H188" s="1">
        <v>8970.11</v>
      </c>
      <c r="I188" s="1">
        <v>288000</v>
      </c>
    </row>
    <row r="189" spans="1:9" x14ac:dyDescent="0.25">
      <c r="A189">
        <v>2023</v>
      </c>
      <c r="B189">
        <v>2</v>
      </c>
      <c r="C189">
        <v>17120000000</v>
      </c>
      <c r="F189" t="s">
        <v>190</v>
      </c>
      <c r="G189" s="1">
        <v>1202220.8999999999</v>
      </c>
      <c r="H189" s="1">
        <v>2518687.91</v>
      </c>
      <c r="I189" s="1">
        <v>16483000</v>
      </c>
    </row>
    <row r="190" spans="1:9" x14ac:dyDescent="0.25">
      <c r="A190">
        <v>2023</v>
      </c>
      <c r="B190">
        <v>2</v>
      </c>
      <c r="C190">
        <v>17125000000</v>
      </c>
      <c r="F190" t="s">
        <v>191</v>
      </c>
      <c r="G190" s="1">
        <v>17439.23</v>
      </c>
      <c r="H190" s="1">
        <v>17439.23</v>
      </c>
      <c r="I190" s="1">
        <v>232000</v>
      </c>
    </row>
    <row r="191" spans="1:9" x14ac:dyDescent="0.25">
      <c r="A191">
        <v>2023</v>
      </c>
      <c r="B191">
        <v>2</v>
      </c>
      <c r="C191">
        <v>17125001001</v>
      </c>
      <c r="D191">
        <v>1</v>
      </c>
      <c r="E191">
        <v>1171</v>
      </c>
      <c r="F191" t="s">
        <v>192</v>
      </c>
      <c r="G191" s="1">
        <v>17439.23</v>
      </c>
      <c r="H191" s="1">
        <v>17439.23</v>
      </c>
      <c r="I191" s="1">
        <v>232000</v>
      </c>
    </row>
    <row r="192" spans="1:9" x14ac:dyDescent="0.25">
      <c r="A192">
        <v>2023</v>
      </c>
      <c r="B192">
        <v>2</v>
      </c>
      <c r="C192">
        <v>17125100000</v>
      </c>
      <c r="F192" t="s">
        <v>193</v>
      </c>
      <c r="G192" s="1">
        <v>9365.35</v>
      </c>
      <c r="H192" s="1">
        <v>209896.75</v>
      </c>
      <c r="I192" s="1">
        <v>2032000</v>
      </c>
    </row>
    <row r="193" spans="1:9" x14ac:dyDescent="0.25">
      <c r="A193">
        <v>2023</v>
      </c>
      <c r="B193">
        <v>2</v>
      </c>
      <c r="C193">
        <v>17125101001</v>
      </c>
      <c r="D193">
        <v>1</v>
      </c>
      <c r="E193">
        <v>2275</v>
      </c>
      <c r="F193" t="s">
        <v>194</v>
      </c>
      <c r="G193" s="1">
        <v>9365.35</v>
      </c>
      <c r="H193" s="1">
        <v>209896.75</v>
      </c>
      <c r="I193" s="1">
        <v>2032000</v>
      </c>
    </row>
    <row r="194" spans="1:9" x14ac:dyDescent="0.25">
      <c r="A194">
        <v>2023</v>
      </c>
      <c r="B194">
        <v>2</v>
      </c>
      <c r="C194">
        <v>17125200000</v>
      </c>
      <c r="F194" t="s">
        <v>195</v>
      </c>
      <c r="G194" s="1">
        <v>1175416.3200000001</v>
      </c>
      <c r="H194" s="1">
        <v>2291351.9300000002</v>
      </c>
      <c r="I194" s="1">
        <v>14219000</v>
      </c>
    </row>
    <row r="195" spans="1:9" x14ac:dyDescent="0.25">
      <c r="A195">
        <v>2023</v>
      </c>
      <c r="B195">
        <v>2</v>
      </c>
      <c r="C195">
        <v>17125210000</v>
      </c>
      <c r="F195" t="s">
        <v>196</v>
      </c>
      <c r="G195" s="1">
        <v>965671.88</v>
      </c>
      <c r="H195" s="1">
        <v>1834204.57</v>
      </c>
      <c r="I195" s="1">
        <v>11143000</v>
      </c>
    </row>
    <row r="196" spans="1:9" x14ac:dyDescent="0.25">
      <c r="A196">
        <v>2023</v>
      </c>
      <c r="B196">
        <v>2</v>
      </c>
      <c r="C196">
        <v>17125211001</v>
      </c>
      <c r="D196">
        <v>1</v>
      </c>
      <c r="E196">
        <v>1201</v>
      </c>
      <c r="F196" t="s">
        <v>197</v>
      </c>
      <c r="G196" s="1">
        <v>965671.88</v>
      </c>
      <c r="H196" s="1">
        <v>1834204.57</v>
      </c>
      <c r="I196" s="1">
        <v>11143000</v>
      </c>
    </row>
    <row r="197" spans="1:9" x14ac:dyDescent="0.25">
      <c r="A197">
        <v>2023</v>
      </c>
      <c r="B197">
        <v>2</v>
      </c>
      <c r="C197">
        <v>17125220000</v>
      </c>
      <c r="F197" t="s">
        <v>198</v>
      </c>
      <c r="G197" s="1">
        <v>19024.73</v>
      </c>
      <c r="H197" s="1">
        <v>57851.51</v>
      </c>
      <c r="I197" s="1">
        <v>444000</v>
      </c>
    </row>
    <row r="198" spans="1:9" x14ac:dyDescent="0.25">
      <c r="A198">
        <v>2023</v>
      </c>
      <c r="B198">
        <v>2</v>
      </c>
      <c r="C198">
        <v>17125221001</v>
      </c>
      <c r="D198">
        <v>1</v>
      </c>
      <c r="E198">
        <v>1202</v>
      </c>
      <c r="F198" t="s">
        <v>199</v>
      </c>
      <c r="G198" s="1">
        <v>19024.73</v>
      </c>
      <c r="H198" s="1">
        <v>57851.51</v>
      </c>
      <c r="I198" s="1">
        <v>444000</v>
      </c>
    </row>
    <row r="199" spans="1:9" x14ac:dyDescent="0.25">
      <c r="A199">
        <v>2023</v>
      </c>
      <c r="B199">
        <v>2</v>
      </c>
      <c r="C199">
        <v>17125240000</v>
      </c>
      <c r="F199" t="s">
        <v>200</v>
      </c>
      <c r="G199" s="1">
        <v>190719.71</v>
      </c>
      <c r="H199" s="1">
        <v>399295.85</v>
      </c>
      <c r="I199" s="1">
        <v>2632000</v>
      </c>
    </row>
    <row r="200" spans="1:9" x14ac:dyDescent="0.25">
      <c r="A200">
        <v>2023</v>
      </c>
      <c r="B200">
        <v>2</v>
      </c>
      <c r="C200">
        <v>17125241001</v>
      </c>
      <c r="D200">
        <v>1</v>
      </c>
      <c r="E200">
        <v>1203</v>
      </c>
      <c r="F200" t="s">
        <v>201</v>
      </c>
      <c r="G200" s="1">
        <v>190719.71</v>
      </c>
      <c r="H200" s="1">
        <v>399295.85</v>
      </c>
      <c r="I200" s="1">
        <v>2632000</v>
      </c>
    </row>
    <row r="201" spans="1:9" x14ac:dyDescent="0.25">
      <c r="A201">
        <v>2023</v>
      </c>
      <c r="B201">
        <v>2</v>
      </c>
      <c r="C201">
        <v>17130000000</v>
      </c>
      <c r="F201" t="s">
        <v>202</v>
      </c>
      <c r="G201" s="1">
        <v>13477993.74</v>
      </c>
      <c r="H201" s="1">
        <v>26588483.510000002</v>
      </c>
      <c r="I201" s="1">
        <v>171379000</v>
      </c>
    </row>
    <row r="202" spans="1:9" x14ac:dyDescent="0.25">
      <c r="A202">
        <v>2023</v>
      </c>
      <c r="B202">
        <v>2</v>
      </c>
      <c r="C202">
        <v>17135000000</v>
      </c>
      <c r="F202" t="s">
        <v>203</v>
      </c>
      <c r="G202" s="1">
        <v>13477993.74</v>
      </c>
      <c r="H202" s="1">
        <v>26588483.510000002</v>
      </c>
      <c r="I202" s="1">
        <v>171379000</v>
      </c>
    </row>
    <row r="203" spans="1:9" x14ac:dyDescent="0.25">
      <c r="A203">
        <v>2023</v>
      </c>
      <c r="B203">
        <v>2</v>
      </c>
      <c r="C203">
        <v>17135010000</v>
      </c>
      <c r="F203" t="s">
        <v>204</v>
      </c>
      <c r="G203" s="1">
        <v>3116517.23</v>
      </c>
      <c r="H203" s="1">
        <v>5400694</v>
      </c>
      <c r="I203" s="1">
        <v>33000000</v>
      </c>
    </row>
    <row r="204" spans="1:9" x14ac:dyDescent="0.25">
      <c r="A204">
        <v>2023</v>
      </c>
      <c r="B204">
        <v>2</v>
      </c>
      <c r="C204">
        <v>17135011001</v>
      </c>
      <c r="D204">
        <v>5</v>
      </c>
      <c r="E204">
        <v>1420</v>
      </c>
      <c r="F204" t="s">
        <v>205</v>
      </c>
      <c r="G204" s="1">
        <v>2543637.23</v>
      </c>
      <c r="H204" s="1">
        <v>4275766</v>
      </c>
      <c r="I204" s="1">
        <v>25553000</v>
      </c>
    </row>
    <row r="205" spans="1:9" x14ac:dyDescent="0.25">
      <c r="A205">
        <v>2023</v>
      </c>
      <c r="B205">
        <v>2</v>
      </c>
      <c r="C205">
        <v>17135011004</v>
      </c>
      <c r="D205">
        <v>5</v>
      </c>
      <c r="E205">
        <v>2003</v>
      </c>
      <c r="F205" t="s">
        <v>206</v>
      </c>
      <c r="G205" s="1">
        <v>572880</v>
      </c>
      <c r="H205" s="1">
        <v>1124928</v>
      </c>
      <c r="I205" s="1">
        <v>7447000</v>
      </c>
    </row>
    <row r="206" spans="1:9" x14ac:dyDescent="0.25">
      <c r="A206">
        <v>2023</v>
      </c>
      <c r="B206">
        <v>2</v>
      </c>
      <c r="C206">
        <v>17135020000</v>
      </c>
      <c r="F206" t="s">
        <v>207</v>
      </c>
      <c r="G206" s="1">
        <v>9958810.8900000006</v>
      </c>
      <c r="H206" s="1">
        <v>19913738.27</v>
      </c>
      <c r="I206" s="1">
        <v>126000000</v>
      </c>
    </row>
    <row r="207" spans="1:9" x14ac:dyDescent="0.25">
      <c r="A207">
        <v>2023</v>
      </c>
      <c r="B207">
        <v>2</v>
      </c>
      <c r="C207">
        <v>17135021001</v>
      </c>
      <c r="D207">
        <v>5</v>
      </c>
      <c r="E207">
        <v>1406</v>
      </c>
      <c r="F207" t="s">
        <v>208</v>
      </c>
      <c r="G207" s="1">
        <v>9958810.8900000006</v>
      </c>
      <c r="H207" s="1">
        <v>19913738.27</v>
      </c>
      <c r="I207" s="1">
        <v>126000000</v>
      </c>
    </row>
    <row r="208" spans="1:9" x14ac:dyDescent="0.25">
      <c r="A208">
        <v>2023</v>
      </c>
      <c r="B208">
        <v>2</v>
      </c>
      <c r="C208">
        <v>17135030000</v>
      </c>
      <c r="F208" t="s">
        <v>209</v>
      </c>
      <c r="G208" s="1">
        <v>50717.919999999998</v>
      </c>
      <c r="H208" s="1">
        <v>570155.84</v>
      </c>
      <c r="I208" s="1">
        <v>7936000</v>
      </c>
    </row>
    <row r="209" spans="1:9" x14ac:dyDescent="0.25">
      <c r="A209">
        <v>2023</v>
      </c>
      <c r="B209">
        <v>2</v>
      </c>
      <c r="C209">
        <v>17135031001</v>
      </c>
      <c r="D209">
        <v>5</v>
      </c>
      <c r="E209">
        <v>1350</v>
      </c>
      <c r="F209" t="s">
        <v>210</v>
      </c>
      <c r="G209">
        <v>0</v>
      </c>
      <c r="H209">
        <v>0</v>
      </c>
      <c r="I209" s="1">
        <v>1442000</v>
      </c>
    </row>
    <row r="210" spans="1:9" x14ac:dyDescent="0.25">
      <c r="A210">
        <v>2023</v>
      </c>
      <c r="B210">
        <v>2</v>
      </c>
      <c r="C210">
        <v>17135031002</v>
      </c>
      <c r="D210">
        <v>5</v>
      </c>
      <c r="E210">
        <v>1341</v>
      </c>
      <c r="F210" t="s">
        <v>211</v>
      </c>
      <c r="G210" s="1">
        <v>50717.919999999998</v>
      </c>
      <c r="H210" s="1">
        <v>101435.84</v>
      </c>
      <c r="I210" s="1">
        <v>608000</v>
      </c>
    </row>
    <row r="211" spans="1:9" x14ac:dyDescent="0.25">
      <c r="A211">
        <v>2023</v>
      </c>
      <c r="B211">
        <v>2</v>
      </c>
      <c r="C211">
        <v>17135031003</v>
      </c>
      <c r="D211">
        <v>5</v>
      </c>
      <c r="E211">
        <v>2002</v>
      </c>
      <c r="F211" t="s">
        <v>212</v>
      </c>
      <c r="G211">
        <v>0</v>
      </c>
      <c r="H211" s="1">
        <v>468720</v>
      </c>
      <c r="I211" s="1">
        <v>5886000</v>
      </c>
    </row>
    <row r="212" spans="1:9" x14ac:dyDescent="0.25">
      <c r="A212">
        <v>2023</v>
      </c>
      <c r="B212">
        <v>2</v>
      </c>
      <c r="C212">
        <v>17135040000</v>
      </c>
      <c r="F212" t="s">
        <v>213</v>
      </c>
      <c r="G212" s="1">
        <v>351947.7</v>
      </c>
      <c r="H212" s="1">
        <v>703895.4</v>
      </c>
      <c r="I212" s="1">
        <v>4443000</v>
      </c>
    </row>
    <row r="213" spans="1:9" x14ac:dyDescent="0.25">
      <c r="A213">
        <v>2023</v>
      </c>
      <c r="B213">
        <v>2</v>
      </c>
      <c r="C213">
        <v>17135041001</v>
      </c>
      <c r="D213">
        <v>5</v>
      </c>
      <c r="E213">
        <v>1376</v>
      </c>
      <c r="F213" t="s">
        <v>214</v>
      </c>
      <c r="G213" s="1">
        <v>351947.7</v>
      </c>
      <c r="H213" s="1">
        <v>703895.4</v>
      </c>
      <c r="I213" s="1">
        <v>4443000</v>
      </c>
    </row>
    <row r="214" spans="1:9" x14ac:dyDescent="0.25">
      <c r="A214">
        <v>2023</v>
      </c>
      <c r="B214">
        <v>2</v>
      </c>
      <c r="C214">
        <v>17140000000</v>
      </c>
      <c r="F214" t="s">
        <v>215</v>
      </c>
      <c r="G214" s="1">
        <v>5657147.46</v>
      </c>
      <c r="H214" s="1">
        <v>13830220.029999999</v>
      </c>
      <c r="I214" s="1">
        <v>71693000</v>
      </c>
    </row>
    <row r="215" spans="1:9" x14ac:dyDescent="0.25">
      <c r="A215">
        <v>2023</v>
      </c>
      <c r="B215">
        <v>2</v>
      </c>
      <c r="C215">
        <v>17145000000</v>
      </c>
      <c r="F215" t="s">
        <v>216</v>
      </c>
      <c r="G215" s="1">
        <v>4801503.9800000004</v>
      </c>
      <c r="H215" s="1">
        <v>12974576.550000001</v>
      </c>
      <c r="I215" s="1">
        <v>59931000</v>
      </c>
    </row>
    <row r="216" spans="1:9" x14ac:dyDescent="0.25">
      <c r="A216">
        <v>2023</v>
      </c>
      <c r="B216">
        <v>2</v>
      </c>
      <c r="C216">
        <v>17145001001</v>
      </c>
      <c r="D216">
        <v>5</v>
      </c>
      <c r="E216">
        <v>1260</v>
      </c>
      <c r="F216" t="s">
        <v>217</v>
      </c>
      <c r="G216" s="1">
        <v>4801503.9800000004</v>
      </c>
      <c r="H216" s="1">
        <v>12974576.550000001</v>
      </c>
      <c r="I216" s="1">
        <v>59931000</v>
      </c>
    </row>
    <row r="217" spans="1:9" x14ac:dyDescent="0.25">
      <c r="A217">
        <v>2023</v>
      </c>
      <c r="B217">
        <v>2</v>
      </c>
      <c r="C217">
        <v>17145200000</v>
      </c>
      <c r="F217" t="s">
        <v>218</v>
      </c>
      <c r="G217" s="1">
        <v>855643.48</v>
      </c>
      <c r="H217" s="1">
        <v>855643.48</v>
      </c>
      <c r="I217" s="1">
        <v>11055000</v>
      </c>
    </row>
    <row r="218" spans="1:9" x14ac:dyDescent="0.25">
      <c r="A218">
        <v>2023</v>
      </c>
      <c r="B218">
        <v>2</v>
      </c>
      <c r="C218">
        <v>17145201001</v>
      </c>
      <c r="D218">
        <v>5</v>
      </c>
      <c r="E218">
        <v>2731</v>
      </c>
      <c r="F218" t="s">
        <v>219</v>
      </c>
      <c r="G218" s="1">
        <v>176182.2</v>
      </c>
      <c r="H218" s="1">
        <v>176182.2</v>
      </c>
      <c r="I218" s="1">
        <v>2326000</v>
      </c>
    </row>
    <row r="219" spans="1:9" x14ac:dyDescent="0.25">
      <c r="A219">
        <v>2023</v>
      </c>
      <c r="B219">
        <v>2</v>
      </c>
      <c r="C219">
        <v>17145201002</v>
      </c>
      <c r="D219">
        <v>5</v>
      </c>
      <c r="E219">
        <v>2732</v>
      </c>
      <c r="F219" t="s">
        <v>220</v>
      </c>
      <c r="G219" s="1">
        <v>20140</v>
      </c>
      <c r="H219" s="1">
        <v>20140</v>
      </c>
      <c r="I219" s="1">
        <v>223000</v>
      </c>
    </row>
    <row r="220" spans="1:9" x14ac:dyDescent="0.25">
      <c r="A220">
        <v>2023</v>
      </c>
      <c r="B220">
        <v>2</v>
      </c>
      <c r="C220">
        <v>17145201003</v>
      </c>
      <c r="D220">
        <v>5</v>
      </c>
      <c r="E220">
        <v>2733</v>
      </c>
      <c r="F220" t="s">
        <v>221</v>
      </c>
      <c r="G220" s="1">
        <v>316591.59999999998</v>
      </c>
      <c r="H220" s="1">
        <v>316591.59999999998</v>
      </c>
      <c r="I220" s="1">
        <v>3948000</v>
      </c>
    </row>
    <row r="221" spans="1:9" x14ac:dyDescent="0.25">
      <c r="A221">
        <v>2023</v>
      </c>
      <c r="B221">
        <v>2</v>
      </c>
      <c r="C221">
        <v>17145201004</v>
      </c>
      <c r="D221">
        <v>5</v>
      </c>
      <c r="E221">
        <v>2734</v>
      </c>
      <c r="F221" t="s">
        <v>222</v>
      </c>
      <c r="G221" s="1">
        <v>331843.40000000002</v>
      </c>
      <c r="H221" s="1">
        <v>331843.40000000002</v>
      </c>
      <c r="I221" s="1">
        <v>4417000</v>
      </c>
    </row>
    <row r="222" spans="1:9" x14ac:dyDescent="0.25">
      <c r="A222">
        <v>2023</v>
      </c>
      <c r="B222">
        <v>2</v>
      </c>
      <c r="C222">
        <v>17145201005</v>
      </c>
      <c r="D222">
        <v>5</v>
      </c>
      <c r="E222">
        <v>2735</v>
      </c>
      <c r="F222" t="s">
        <v>223</v>
      </c>
      <c r="G222" s="1">
        <v>6912.08</v>
      </c>
      <c r="H222" s="1">
        <v>6912.08</v>
      </c>
      <c r="I222" s="1">
        <v>91000</v>
      </c>
    </row>
    <row r="223" spans="1:9" x14ac:dyDescent="0.25">
      <c r="A223">
        <v>2023</v>
      </c>
      <c r="B223">
        <v>2</v>
      </c>
      <c r="C223">
        <v>17145201006</v>
      </c>
      <c r="D223">
        <v>5</v>
      </c>
      <c r="E223">
        <v>2736</v>
      </c>
      <c r="F223" t="s">
        <v>224</v>
      </c>
      <c r="G223" s="1">
        <v>3974.2</v>
      </c>
      <c r="H223" s="1">
        <v>3974.2</v>
      </c>
      <c r="I223" s="1">
        <v>50000</v>
      </c>
    </row>
    <row r="224" spans="1:9" x14ac:dyDescent="0.25">
      <c r="A224">
        <v>2023</v>
      </c>
      <c r="B224">
        <v>2</v>
      </c>
      <c r="C224">
        <v>17145300000</v>
      </c>
      <c r="F224" t="s">
        <v>225</v>
      </c>
      <c r="G224">
        <v>0</v>
      </c>
      <c r="H224">
        <v>0</v>
      </c>
      <c r="I224" s="1">
        <v>707000</v>
      </c>
    </row>
    <row r="225" spans="1:9" x14ac:dyDescent="0.25">
      <c r="A225">
        <v>2023</v>
      </c>
      <c r="B225">
        <v>2</v>
      </c>
      <c r="C225">
        <v>17145301001</v>
      </c>
      <c r="D225">
        <v>5</v>
      </c>
      <c r="E225">
        <v>2740</v>
      </c>
      <c r="F225" t="s">
        <v>226</v>
      </c>
      <c r="G225">
        <v>0</v>
      </c>
      <c r="H225">
        <v>0</v>
      </c>
      <c r="I225" s="1">
        <v>707000</v>
      </c>
    </row>
    <row r="226" spans="1:9" x14ac:dyDescent="0.25">
      <c r="A226">
        <v>2023</v>
      </c>
      <c r="B226">
        <v>2</v>
      </c>
      <c r="C226">
        <v>17160000000</v>
      </c>
      <c r="F226" t="s">
        <v>227</v>
      </c>
      <c r="G226" s="1">
        <v>355550.68</v>
      </c>
      <c r="H226" s="1">
        <v>455680.85</v>
      </c>
      <c r="I226" s="1">
        <v>3476000</v>
      </c>
    </row>
    <row r="227" spans="1:9" x14ac:dyDescent="0.25">
      <c r="A227">
        <v>2023</v>
      </c>
      <c r="B227">
        <v>2</v>
      </c>
      <c r="C227">
        <v>17165000000</v>
      </c>
      <c r="F227" t="s">
        <v>228</v>
      </c>
      <c r="G227" s="1">
        <v>355550.68</v>
      </c>
      <c r="H227" s="1">
        <v>455680.85</v>
      </c>
      <c r="I227" s="1">
        <v>3476000</v>
      </c>
    </row>
    <row r="228" spans="1:9" x14ac:dyDescent="0.25">
      <c r="A228">
        <v>2023</v>
      </c>
      <c r="B228">
        <v>2</v>
      </c>
      <c r="C228">
        <v>17165001001</v>
      </c>
      <c r="D228">
        <v>5</v>
      </c>
      <c r="E228">
        <v>2180</v>
      </c>
      <c r="F228" t="s">
        <v>229</v>
      </c>
      <c r="G228" s="1">
        <v>258536.33</v>
      </c>
      <c r="H228" s="1">
        <v>358666.5</v>
      </c>
      <c r="I228" s="1">
        <v>1379000</v>
      </c>
    </row>
    <row r="229" spans="1:9" x14ac:dyDescent="0.25">
      <c r="A229">
        <v>2023</v>
      </c>
      <c r="B229">
        <v>2</v>
      </c>
      <c r="C229">
        <v>17165001002</v>
      </c>
      <c r="D229">
        <v>5</v>
      </c>
      <c r="E229">
        <v>2596</v>
      </c>
      <c r="F229" t="s">
        <v>230</v>
      </c>
      <c r="G229">
        <v>0</v>
      </c>
      <c r="H229">
        <v>0</v>
      </c>
      <c r="I229" s="1">
        <v>868000</v>
      </c>
    </row>
    <row r="230" spans="1:9" x14ac:dyDescent="0.25">
      <c r="A230">
        <v>2023</v>
      </c>
      <c r="B230">
        <v>2</v>
      </c>
      <c r="C230">
        <v>17165001006</v>
      </c>
      <c r="D230">
        <v>5</v>
      </c>
      <c r="E230">
        <v>2181</v>
      </c>
      <c r="F230" t="s">
        <v>231</v>
      </c>
      <c r="G230" s="1">
        <v>97014.35</v>
      </c>
      <c r="H230" s="1">
        <v>97014.35</v>
      </c>
      <c r="I230" s="1">
        <v>1229000</v>
      </c>
    </row>
    <row r="231" spans="1:9" x14ac:dyDescent="0.25">
      <c r="A231">
        <v>2023</v>
      </c>
      <c r="B231">
        <v>2</v>
      </c>
      <c r="C231">
        <v>17170000000</v>
      </c>
      <c r="F231" t="s">
        <v>232</v>
      </c>
      <c r="G231" s="1">
        <v>134460.18</v>
      </c>
      <c r="H231" s="1">
        <v>249108.28</v>
      </c>
      <c r="I231" s="1">
        <v>499000</v>
      </c>
    </row>
    <row r="232" spans="1:9" x14ac:dyDescent="0.25">
      <c r="A232">
        <v>2023</v>
      </c>
      <c r="B232">
        <v>2</v>
      </c>
      <c r="C232">
        <v>17179900000</v>
      </c>
      <c r="F232" t="s">
        <v>233</v>
      </c>
      <c r="G232" s="1">
        <v>134460.18</v>
      </c>
      <c r="H232" s="1">
        <v>249108.28</v>
      </c>
      <c r="I232" s="1">
        <v>499000</v>
      </c>
    </row>
    <row r="233" spans="1:9" x14ac:dyDescent="0.25">
      <c r="A233">
        <v>2023</v>
      </c>
      <c r="B233">
        <v>2</v>
      </c>
      <c r="C233">
        <v>17179901001</v>
      </c>
      <c r="D233">
        <v>5</v>
      </c>
      <c r="E233">
        <v>1172</v>
      </c>
      <c r="F233" t="s">
        <v>234</v>
      </c>
      <c r="G233" s="1">
        <v>134460.18</v>
      </c>
      <c r="H233" s="1">
        <v>249108.28</v>
      </c>
      <c r="I233">
        <v>0</v>
      </c>
    </row>
    <row r="234" spans="1:9" x14ac:dyDescent="0.25">
      <c r="A234">
        <v>2023</v>
      </c>
      <c r="B234">
        <v>2</v>
      </c>
      <c r="C234">
        <v>17179901007</v>
      </c>
      <c r="D234">
        <v>5</v>
      </c>
      <c r="E234">
        <v>2644</v>
      </c>
      <c r="F234" t="s">
        <v>235</v>
      </c>
      <c r="G234">
        <v>0</v>
      </c>
      <c r="H234">
        <v>0</v>
      </c>
      <c r="I234" s="1">
        <v>499000</v>
      </c>
    </row>
    <row r="235" spans="1:9" x14ac:dyDescent="0.25">
      <c r="A235">
        <v>2023</v>
      </c>
      <c r="B235">
        <v>2</v>
      </c>
      <c r="C235">
        <v>17190000000</v>
      </c>
      <c r="F235" t="s">
        <v>233</v>
      </c>
      <c r="G235" s="1">
        <v>317672.92</v>
      </c>
      <c r="H235" s="1">
        <v>635345.84</v>
      </c>
      <c r="I235" s="1">
        <v>3885000</v>
      </c>
    </row>
    <row r="236" spans="1:9" x14ac:dyDescent="0.25">
      <c r="A236">
        <v>2023</v>
      </c>
      <c r="B236">
        <v>2</v>
      </c>
      <c r="C236">
        <v>17195800000</v>
      </c>
      <c r="F236" t="s">
        <v>236</v>
      </c>
      <c r="G236" s="1">
        <v>317672.92</v>
      </c>
      <c r="H236" s="1">
        <v>635345.84</v>
      </c>
      <c r="I236" s="1">
        <v>3885000</v>
      </c>
    </row>
    <row r="237" spans="1:9" x14ac:dyDescent="0.25">
      <c r="A237">
        <v>2023</v>
      </c>
      <c r="B237">
        <v>2</v>
      </c>
      <c r="C237">
        <v>17195801001</v>
      </c>
      <c r="D237">
        <v>5</v>
      </c>
      <c r="E237">
        <v>1948</v>
      </c>
      <c r="F237" t="s">
        <v>237</v>
      </c>
      <c r="G237" s="1">
        <v>317672.92</v>
      </c>
      <c r="H237" s="1">
        <v>635345.84</v>
      </c>
      <c r="I237" s="1">
        <v>3885000</v>
      </c>
    </row>
    <row r="238" spans="1:9" x14ac:dyDescent="0.25">
      <c r="A238">
        <v>2023</v>
      </c>
      <c r="B238">
        <v>2</v>
      </c>
      <c r="C238">
        <v>17200000000</v>
      </c>
      <c r="F238" t="s">
        <v>238</v>
      </c>
      <c r="G238" s="1">
        <v>122846142.81999999</v>
      </c>
      <c r="H238" s="1">
        <v>325818894.81999999</v>
      </c>
      <c r="I238" s="1">
        <v>1598816000</v>
      </c>
    </row>
    <row r="239" spans="1:9" x14ac:dyDescent="0.25">
      <c r="A239">
        <v>2023</v>
      </c>
      <c r="B239">
        <v>2</v>
      </c>
      <c r="C239">
        <v>17210000000</v>
      </c>
      <c r="F239" t="s">
        <v>239</v>
      </c>
      <c r="G239" s="1">
        <v>119243994.98999999</v>
      </c>
      <c r="H239" s="1">
        <v>320279181.32999998</v>
      </c>
      <c r="I239" s="1">
        <v>1560625000</v>
      </c>
    </row>
    <row r="240" spans="1:9" x14ac:dyDescent="0.25">
      <c r="A240">
        <v>2023</v>
      </c>
      <c r="B240">
        <v>2</v>
      </c>
      <c r="C240">
        <v>17215000000</v>
      </c>
      <c r="F240" t="s">
        <v>240</v>
      </c>
      <c r="G240" s="1">
        <v>88320078.900000006</v>
      </c>
      <c r="H240" s="1">
        <v>206480489.27000001</v>
      </c>
      <c r="I240" s="1">
        <v>1362664000</v>
      </c>
    </row>
    <row r="241" spans="1:9" x14ac:dyDescent="0.25">
      <c r="A241">
        <v>2023</v>
      </c>
      <c r="B241">
        <v>2</v>
      </c>
      <c r="C241">
        <v>17215001001</v>
      </c>
      <c r="D241">
        <v>1</v>
      </c>
      <c r="E241">
        <v>1236</v>
      </c>
      <c r="F241" t="s">
        <v>241</v>
      </c>
      <c r="G241" s="1">
        <v>88320078.900000006</v>
      </c>
      <c r="H241" s="1">
        <v>206480489.27000001</v>
      </c>
      <c r="I241" s="1">
        <v>1362664000</v>
      </c>
    </row>
    <row r="242" spans="1:9" x14ac:dyDescent="0.25">
      <c r="A242">
        <v>2023</v>
      </c>
      <c r="B242">
        <v>2</v>
      </c>
      <c r="C242">
        <v>17215100000</v>
      </c>
      <c r="F242" t="s">
        <v>242</v>
      </c>
      <c r="G242" s="1">
        <v>30443221.93</v>
      </c>
      <c r="H242" s="1">
        <v>112683367.42</v>
      </c>
      <c r="I242" s="1">
        <v>188241000</v>
      </c>
    </row>
    <row r="243" spans="1:9" x14ac:dyDescent="0.25">
      <c r="A243">
        <v>2023</v>
      </c>
      <c r="B243">
        <v>2</v>
      </c>
      <c r="C243">
        <v>17215101001</v>
      </c>
      <c r="D243">
        <v>1</v>
      </c>
      <c r="E243">
        <v>1287</v>
      </c>
      <c r="F243" t="s">
        <v>243</v>
      </c>
      <c r="G243" s="1">
        <v>30443221.93</v>
      </c>
      <c r="H243" s="1">
        <v>112683367.42</v>
      </c>
      <c r="I243" s="1">
        <v>188241000</v>
      </c>
    </row>
    <row r="244" spans="1:9" x14ac:dyDescent="0.25">
      <c r="A244">
        <v>2023</v>
      </c>
      <c r="B244">
        <v>2</v>
      </c>
      <c r="C244">
        <v>17215200000</v>
      </c>
      <c r="F244" t="s">
        <v>244</v>
      </c>
      <c r="G244" s="1">
        <v>480694.16</v>
      </c>
      <c r="H244" s="1">
        <v>1113383.58</v>
      </c>
      <c r="I244" s="1">
        <v>9307000</v>
      </c>
    </row>
    <row r="245" spans="1:9" x14ac:dyDescent="0.25">
      <c r="A245">
        <v>2023</v>
      </c>
      <c r="B245">
        <v>2</v>
      </c>
      <c r="C245">
        <v>17215201001</v>
      </c>
      <c r="D245">
        <v>1</v>
      </c>
      <c r="E245">
        <v>1252</v>
      </c>
      <c r="F245" t="s">
        <v>245</v>
      </c>
      <c r="G245" s="1">
        <v>480694.16</v>
      </c>
      <c r="H245" s="1">
        <v>1113383.58</v>
      </c>
      <c r="I245" s="1">
        <v>9307000</v>
      </c>
    </row>
    <row r="246" spans="1:9" x14ac:dyDescent="0.25">
      <c r="A246">
        <v>2023</v>
      </c>
      <c r="B246">
        <v>2</v>
      </c>
      <c r="C246">
        <v>17215300000</v>
      </c>
      <c r="F246" t="s">
        <v>246</v>
      </c>
      <c r="G246">
        <v>0</v>
      </c>
      <c r="H246" s="1">
        <v>1941.06</v>
      </c>
      <c r="I246" s="1">
        <v>413000</v>
      </c>
    </row>
    <row r="247" spans="1:9" x14ac:dyDescent="0.25">
      <c r="A247">
        <v>2023</v>
      </c>
      <c r="B247">
        <v>2</v>
      </c>
      <c r="C247">
        <v>17215301001</v>
      </c>
      <c r="D247">
        <v>1</v>
      </c>
      <c r="E247">
        <v>1840</v>
      </c>
      <c r="F247" t="s">
        <v>247</v>
      </c>
      <c r="G247">
        <v>0</v>
      </c>
      <c r="H247" s="1">
        <v>1941.06</v>
      </c>
      <c r="I247" s="1">
        <v>413000</v>
      </c>
    </row>
    <row r="248" spans="1:9" x14ac:dyDescent="0.25">
      <c r="A248">
        <v>2023</v>
      </c>
      <c r="B248">
        <v>2</v>
      </c>
      <c r="C248">
        <v>17240000000</v>
      </c>
      <c r="F248" t="s">
        <v>248</v>
      </c>
      <c r="G248" s="1">
        <v>3602147.83</v>
      </c>
      <c r="H248" s="1">
        <v>5539713.4900000002</v>
      </c>
      <c r="I248" s="1">
        <v>36491000</v>
      </c>
    </row>
    <row r="249" spans="1:9" x14ac:dyDescent="0.25">
      <c r="A249">
        <v>2023</v>
      </c>
      <c r="B249">
        <v>2</v>
      </c>
      <c r="C249">
        <v>17245000000</v>
      </c>
      <c r="F249" t="s">
        <v>249</v>
      </c>
      <c r="G249" s="1">
        <v>761659.45</v>
      </c>
      <c r="H249" s="1">
        <v>2699225.11</v>
      </c>
      <c r="I249" s="1">
        <v>4196000</v>
      </c>
    </row>
    <row r="250" spans="1:9" x14ac:dyDescent="0.25">
      <c r="A250">
        <v>2023</v>
      </c>
      <c r="B250">
        <v>2</v>
      </c>
      <c r="C250">
        <v>17245001001</v>
      </c>
      <c r="D250">
        <v>2</v>
      </c>
      <c r="E250">
        <v>1414</v>
      </c>
      <c r="F250" t="s">
        <v>250</v>
      </c>
      <c r="G250" s="1">
        <v>761659.45</v>
      </c>
      <c r="H250" s="1">
        <v>2699225.11</v>
      </c>
      <c r="I250" s="1">
        <v>4196000</v>
      </c>
    </row>
    <row r="251" spans="1:9" x14ac:dyDescent="0.25">
      <c r="A251">
        <v>2023</v>
      </c>
      <c r="B251">
        <v>2</v>
      </c>
      <c r="C251">
        <v>17245100000</v>
      </c>
      <c r="F251" t="s">
        <v>251</v>
      </c>
      <c r="G251" s="1">
        <v>2840488.38</v>
      </c>
      <c r="H251" s="1">
        <v>2840488.38</v>
      </c>
      <c r="I251" s="1">
        <v>28160000</v>
      </c>
    </row>
    <row r="252" spans="1:9" x14ac:dyDescent="0.25">
      <c r="A252">
        <v>2023</v>
      </c>
      <c r="B252">
        <v>2</v>
      </c>
      <c r="C252">
        <v>17245101002</v>
      </c>
      <c r="D252">
        <v>2</v>
      </c>
      <c r="E252">
        <v>2907</v>
      </c>
      <c r="F252" t="s">
        <v>252</v>
      </c>
      <c r="G252" s="1">
        <v>2840488.38</v>
      </c>
      <c r="H252" s="1">
        <v>2840488.38</v>
      </c>
      <c r="I252" s="1">
        <v>28160000</v>
      </c>
    </row>
    <row r="253" spans="1:9" x14ac:dyDescent="0.25">
      <c r="A253">
        <v>2023</v>
      </c>
      <c r="B253">
        <v>2</v>
      </c>
      <c r="C253">
        <v>17249900000</v>
      </c>
      <c r="F253" t="s">
        <v>253</v>
      </c>
      <c r="G253">
        <v>0</v>
      </c>
      <c r="H253">
        <v>0</v>
      </c>
      <c r="I253" s="1">
        <v>4135000</v>
      </c>
    </row>
    <row r="254" spans="1:9" x14ac:dyDescent="0.25">
      <c r="A254">
        <v>2023</v>
      </c>
      <c r="B254">
        <v>2</v>
      </c>
      <c r="C254">
        <v>17249901002</v>
      </c>
      <c r="D254">
        <v>2</v>
      </c>
      <c r="E254">
        <v>1391</v>
      </c>
      <c r="F254" t="s">
        <v>254</v>
      </c>
      <c r="G254">
        <v>0</v>
      </c>
      <c r="H254">
        <v>0</v>
      </c>
      <c r="I254" s="1">
        <v>898000</v>
      </c>
    </row>
    <row r="255" spans="1:9" x14ac:dyDescent="0.25">
      <c r="A255">
        <v>2023</v>
      </c>
      <c r="B255">
        <v>2</v>
      </c>
      <c r="C255">
        <v>17249901003</v>
      </c>
      <c r="D255">
        <v>2</v>
      </c>
      <c r="E255">
        <v>2247</v>
      </c>
      <c r="F255" t="s">
        <v>255</v>
      </c>
      <c r="G255">
        <v>0</v>
      </c>
      <c r="H255">
        <v>0</v>
      </c>
      <c r="I255" s="1">
        <v>3237000</v>
      </c>
    </row>
    <row r="256" spans="1:9" x14ac:dyDescent="0.25">
      <c r="A256">
        <v>2023</v>
      </c>
      <c r="B256">
        <v>2</v>
      </c>
      <c r="C256">
        <v>17290000000</v>
      </c>
      <c r="F256" t="s">
        <v>256</v>
      </c>
      <c r="G256">
        <v>0</v>
      </c>
      <c r="H256">
        <v>0</v>
      </c>
      <c r="I256" s="1">
        <v>1700000</v>
      </c>
    </row>
    <row r="257" spans="1:9" x14ac:dyDescent="0.25">
      <c r="A257">
        <v>2023</v>
      </c>
      <c r="B257">
        <v>2</v>
      </c>
      <c r="C257">
        <v>17295100000</v>
      </c>
      <c r="F257" t="s">
        <v>257</v>
      </c>
      <c r="G257">
        <v>0</v>
      </c>
      <c r="H257">
        <v>0</v>
      </c>
      <c r="I257" s="1">
        <v>1700000</v>
      </c>
    </row>
    <row r="258" spans="1:9" x14ac:dyDescent="0.25">
      <c r="A258">
        <v>2023</v>
      </c>
      <c r="B258">
        <v>2</v>
      </c>
      <c r="C258">
        <v>17295101001</v>
      </c>
      <c r="D258">
        <v>2</v>
      </c>
      <c r="E258">
        <v>2311</v>
      </c>
      <c r="F258" t="s">
        <v>258</v>
      </c>
      <c r="G258">
        <v>0</v>
      </c>
      <c r="H258">
        <v>0</v>
      </c>
      <c r="I258" s="1">
        <v>1700000</v>
      </c>
    </row>
    <row r="259" spans="1:9" x14ac:dyDescent="0.25">
      <c r="A259">
        <v>2023</v>
      </c>
      <c r="B259">
        <v>2</v>
      </c>
      <c r="C259">
        <v>17400000000</v>
      </c>
      <c r="F259" t="s">
        <v>259</v>
      </c>
      <c r="G259">
        <v>0</v>
      </c>
      <c r="H259">
        <v>0</v>
      </c>
      <c r="I259" s="1">
        <v>44000</v>
      </c>
    </row>
    <row r="260" spans="1:9" x14ac:dyDescent="0.25">
      <c r="A260">
        <v>2023</v>
      </c>
      <c r="B260">
        <v>2</v>
      </c>
      <c r="C260">
        <v>17410000000</v>
      </c>
      <c r="F260" t="s">
        <v>259</v>
      </c>
      <c r="G260">
        <v>0</v>
      </c>
      <c r="H260">
        <v>0</v>
      </c>
      <c r="I260" s="1">
        <v>44000</v>
      </c>
    </row>
    <row r="261" spans="1:9" x14ac:dyDescent="0.25">
      <c r="A261">
        <v>2023</v>
      </c>
      <c r="B261">
        <v>2</v>
      </c>
      <c r="C261">
        <v>17415000000</v>
      </c>
      <c r="F261" t="s">
        <v>260</v>
      </c>
      <c r="G261">
        <v>0</v>
      </c>
      <c r="H261">
        <v>0</v>
      </c>
      <c r="I261" s="1">
        <v>44000</v>
      </c>
    </row>
    <row r="262" spans="1:9" x14ac:dyDescent="0.25">
      <c r="A262">
        <v>2023</v>
      </c>
      <c r="B262">
        <v>2</v>
      </c>
      <c r="C262">
        <v>17415001001</v>
      </c>
      <c r="D262">
        <v>6</v>
      </c>
      <c r="E262">
        <v>2611</v>
      </c>
      <c r="F262" t="s">
        <v>261</v>
      </c>
      <c r="G262">
        <v>0</v>
      </c>
      <c r="H262">
        <v>0</v>
      </c>
      <c r="I262" s="1">
        <v>44000</v>
      </c>
    </row>
    <row r="263" spans="1:9" x14ac:dyDescent="0.25">
      <c r="A263">
        <v>2023</v>
      </c>
      <c r="B263">
        <v>2</v>
      </c>
      <c r="C263">
        <v>17500000000</v>
      </c>
      <c r="F263" t="s">
        <v>262</v>
      </c>
      <c r="G263" s="1">
        <v>38514502.75</v>
      </c>
      <c r="H263" s="1">
        <v>92917723.109999999</v>
      </c>
      <c r="I263" s="1">
        <v>497739000</v>
      </c>
    </row>
    <row r="264" spans="1:9" x14ac:dyDescent="0.25">
      <c r="A264">
        <v>2023</v>
      </c>
      <c r="B264">
        <v>2</v>
      </c>
      <c r="C264">
        <v>17510000000</v>
      </c>
      <c r="F264" t="s">
        <v>263</v>
      </c>
      <c r="G264" s="1">
        <v>38514502.75</v>
      </c>
      <c r="H264" s="1">
        <v>92917723.109999999</v>
      </c>
      <c r="I264" s="1">
        <v>497739000</v>
      </c>
    </row>
    <row r="265" spans="1:9" x14ac:dyDescent="0.25">
      <c r="A265">
        <v>2023</v>
      </c>
      <c r="B265">
        <v>2</v>
      </c>
      <c r="C265">
        <v>17515000000</v>
      </c>
      <c r="F265" t="s">
        <v>264</v>
      </c>
      <c r="G265" s="1">
        <v>38514502.75</v>
      </c>
      <c r="H265" s="1">
        <v>92917723.109999999</v>
      </c>
      <c r="I265" s="1">
        <v>497739000</v>
      </c>
    </row>
    <row r="266" spans="1:9" x14ac:dyDescent="0.25">
      <c r="A266">
        <v>2023</v>
      </c>
      <c r="B266">
        <v>2</v>
      </c>
      <c r="C266">
        <v>17515001001</v>
      </c>
      <c r="D266">
        <v>2</v>
      </c>
      <c r="E266">
        <v>1321</v>
      </c>
      <c r="F266" t="s">
        <v>265</v>
      </c>
      <c r="G266" s="1">
        <v>4582336.3899999997</v>
      </c>
      <c r="H266" s="1">
        <v>7985621.8200000003</v>
      </c>
      <c r="I266" s="1">
        <v>39696000</v>
      </c>
    </row>
    <row r="267" spans="1:9" x14ac:dyDescent="0.25">
      <c r="A267">
        <v>2023</v>
      </c>
      <c r="B267">
        <v>2</v>
      </c>
      <c r="C267">
        <v>17515001002</v>
      </c>
      <c r="D267">
        <v>2</v>
      </c>
      <c r="E267">
        <v>1322</v>
      </c>
      <c r="F267" t="s">
        <v>266</v>
      </c>
      <c r="G267" s="1">
        <v>18395.45</v>
      </c>
      <c r="H267" s="1">
        <v>46606.77</v>
      </c>
      <c r="I267" s="1">
        <v>670000</v>
      </c>
    </row>
    <row r="268" spans="1:9" x14ac:dyDescent="0.25">
      <c r="A268">
        <v>2023</v>
      </c>
      <c r="B268">
        <v>2</v>
      </c>
      <c r="C268">
        <v>17515001004</v>
      </c>
      <c r="D268">
        <v>2</v>
      </c>
      <c r="E268">
        <v>1324</v>
      </c>
      <c r="F268" t="s">
        <v>267</v>
      </c>
      <c r="G268" s="1">
        <v>26331398.420000002</v>
      </c>
      <c r="H268" s="1">
        <v>58182137.960000001</v>
      </c>
      <c r="I268" s="1">
        <v>404069000</v>
      </c>
    </row>
    <row r="269" spans="1:9" x14ac:dyDescent="0.25">
      <c r="A269">
        <v>2023</v>
      </c>
      <c r="B269">
        <v>2</v>
      </c>
      <c r="C269">
        <v>17515001005</v>
      </c>
      <c r="D269">
        <v>2</v>
      </c>
      <c r="E269">
        <v>1325</v>
      </c>
      <c r="F269" t="s">
        <v>268</v>
      </c>
      <c r="G269" s="1">
        <v>122231.45</v>
      </c>
      <c r="H269" s="1">
        <v>293635.14</v>
      </c>
      <c r="I269" s="1">
        <v>2431000</v>
      </c>
    </row>
    <row r="270" spans="1:9" x14ac:dyDescent="0.25">
      <c r="A270">
        <v>2023</v>
      </c>
      <c r="B270">
        <v>2</v>
      </c>
      <c r="C270">
        <v>17515001006</v>
      </c>
      <c r="D270">
        <v>2</v>
      </c>
      <c r="E270">
        <v>1326</v>
      </c>
      <c r="F270" t="s">
        <v>269</v>
      </c>
      <c r="G270" s="1">
        <v>6183562.5599999996</v>
      </c>
      <c r="H270" s="1">
        <v>23944230.449999999</v>
      </c>
      <c r="I270" s="1">
        <v>41126000</v>
      </c>
    </row>
    <row r="271" spans="1:9" x14ac:dyDescent="0.25">
      <c r="A271">
        <v>2023</v>
      </c>
      <c r="B271">
        <v>2</v>
      </c>
      <c r="C271">
        <v>17515001007</v>
      </c>
      <c r="D271">
        <v>2</v>
      </c>
      <c r="E271">
        <v>1327</v>
      </c>
      <c r="F271" t="s">
        <v>270</v>
      </c>
      <c r="G271" s="1">
        <v>459233.11</v>
      </c>
      <c r="H271" s="1">
        <v>954713.42</v>
      </c>
      <c r="I271" s="1">
        <v>7220000</v>
      </c>
    </row>
    <row r="272" spans="1:9" x14ac:dyDescent="0.25">
      <c r="A272">
        <v>2023</v>
      </c>
      <c r="B272">
        <v>2</v>
      </c>
      <c r="C272">
        <v>17515001008</v>
      </c>
      <c r="D272">
        <v>2</v>
      </c>
      <c r="E272">
        <v>1328</v>
      </c>
      <c r="F272" t="s">
        <v>271</v>
      </c>
      <c r="G272" s="1">
        <v>319808.84000000003</v>
      </c>
      <c r="H272" s="1">
        <v>560935.09</v>
      </c>
      <c r="I272" s="1">
        <v>2527000</v>
      </c>
    </row>
    <row r="273" spans="1:9" x14ac:dyDescent="0.25">
      <c r="A273">
        <v>2023</v>
      </c>
      <c r="B273">
        <v>2</v>
      </c>
      <c r="C273">
        <v>17515001009</v>
      </c>
      <c r="D273">
        <v>2</v>
      </c>
      <c r="E273">
        <v>2017</v>
      </c>
      <c r="F273" t="s">
        <v>272</v>
      </c>
      <c r="G273" s="1">
        <v>497536.53</v>
      </c>
      <c r="H273" s="1">
        <v>949842.46</v>
      </c>
      <c r="I273">
        <v>0</v>
      </c>
    </row>
    <row r="274" spans="1:9" x14ac:dyDescent="0.25">
      <c r="A274">
        <v>2023</v>
      </c>
      <c r="B274">
        <v>2</v>
      </c>
      <c r="C274">
        <v>19000000000</v>
      </c>
      <c r="F274" t="s">
        <v>273</v>
      </c>
      <c r="G274" s="1">
        <v>11703207.970000001</v>
      </c>
      <c r="H274" s="1">
        <v>20396944.379999999</v>
      </c>
      <c r="I274" s="1">
        <v>94538000</v>
      </c>
    </row>
    <row r="275" spans="1:9" x14ac:dyDescent="0.25">
      <c r="A275">
        <v>2023</v>
      </c>
      <c r="B275">
        <v>2</v>
      </c>
      <c r="C275">
        <v>19100000000</v>
      </c>
      <c r="F275" t="s">
        <v>274</v>
      </c>
      <c r="G275" s="1">
        <v>3075429.34</v>
      </c>
      <c r="H275" s="1">
        <v>7672071.4900000002</v>
      </c>
      <c r="I275" s="1">
        <v>37952000</v>
      </c>
    </row>
    <row r="276" spans="1:9" x14ac:dyDescent="0.25">
      <c r="A276">
        <v>2023</v>
      </c>
      <c r="B276">
        <v>2</v>
      </c>
      <c r="C276">
        <v>19110000000</v>
      </c>
      <c r="F276" t="s">
        <v>274</v>
      </c>
      <c r="G276" s="1">
        <v>3075429.34</v>
      </c>
      <c r="H276" s="1">
        <v>7672071.4900000002</v>
      </c>
      <c r="I276" s="1">
        <v>37952000</v>
      </c>
    </row>
    <row r="277" spans="1:9" x14ac:dyDescent="0.25">
      <c r="A277">
        <v>2023</v>
      </c>
      <c r="B277">
        <v>2</v>
      </c>
      <c r="C277">
        <v>19110100000</v>
      </c>
      <c r="F277" t="s">
        <v>275</v>
      </c>
      <c r="G277" s="1">
        <v>224843.96</v>
      </c>
      <c r="H277" s="1">
        <v>880691.31</v>
      </c>
      <c r="I277" s="1">
        <v>4124000</v>
      </c>
    </row>
    <row r="278" spans="1:9" x14ac:dyDescent="0.25">
      <c r="A278">
        <v>2023</v>
      </c>
      <c r="B278">
        <v>2</v>
      </c>
      <c r="C278">
        <v>19110101000</v>
      </c>
      <c r="F278" t="s">
        <v>276</v>
      </c>
      <c r="G278" s="1">
        <v>203048.6</v>
      </c>
      <c r="H278" s="1">
        <v>696134.27</v>
      </c>
      <c r="I278" s="1">
        <v>4122000</v>
      </c>
    </row>
    <row r="279" spans="1:9" x14ac:dyDescent="0.25">
      <c r="A279">
        <v>2023</v>
      </c>
      <c r="B279">
        <v>2</v>
      </c>
      <c r="C279">
        <v>19110101004</v>
      </c>
      <c r="D279">
        <v>1</v>
      </c>
      <c r="E279">
        <v>2011</v>
      </c>
      <c r="F279" t="s">
        <v>277</v>
      </c>
      <c r="G279" s="1">
        <v>16034.15</v>
      </c>
      <c r="H279" s="1">
        <v>57077.93</v>
      </c>
      <c r="I279" s="1">
        <v>765000</v>
      </c>
    </row>
    <row r="280" spans="1:9" x14ac:dyDescent="0.25">
      <c r="A280">
        <v>2023</v>
      </c>
      <c r="B280">
        <v>2</v>
      </c>
      <c r="C280">
        <v>19110101005</v>
      </c>
      <c r="D280">
        <v>6</v>
      </c>
      <c r="E280">
        <v>2046</v>
      </c>
      <c r="F280" t="s">
        <v>278</v>
      </c>
      <c r="G280">
        <v>0</v>
      </c>
      <c r="H280">
        <v>0</v>
      </c>
      <c r="I280" s="1">
        <v>18000</v>
      </c>
    </row>
    <row r="281" spans="1:9" x14ac:dyDescent="0.25">
      <c r="A281">
        <v>2023</v>
      </c>
      <c r="B281">
        <v>2</v>
      </c>
      <c r="C281">
        <v>19110101006</v>
      </c>
      <c r="D281">
        <v>6</v>
      </c>
      <c r="E281">
        <v>2070</v>
      </c>
      <c r="F281" t="s">
        <v>279</v>
      </c>
      <c r="G281" s="1">
        <v>6326.24</v>
      </c>
      <c r="H281" s="1">
        <v>18347.64</v>
      </c>
      <c r="I281" s="1">
        <v>274000</v>
      </c>
    </row>
    <row r="282" spans="1:9" x14ac:dyDescent="0.25">
      <c r="A282">
        <v>2023</v>
      </c>
      <c r="B282">
        <v>2</v>
      </c>
      <c r="C282">
        <v>19110101008</v>
      </c>
      <c r="D282">
        <v>6</v>
      </c>
      <c r="E282">
        <v>2072</v>
      </c>
      <c r="F282" t="s">
        <v>280</v>
      </c>
      <c r="G282" s="1">
        <v>10008.9</v>
      </c>
      <c r="H282" s="1">
        <v>17305.03</v>
      </c>
      <c r="I282" s="1">
        <v>65000</v>
      </c>
    </row>
    <row r="283" spans="1:9" x14ac:dyDescent="0.25">
      <c r="A283">
        <v>2023</v>
      </c>
      <c r="B283">
        <v>2</v>
      </c>
      <c r="C283">
        <v>19110101009</v>
      </c>
      <c r="D283">
        <v>3</v>
      </c>
      <c r="E283">
        <v>1950</v>
      </c>
      <c r="F283" t="s">
        <v>281</v>
      </c>
      <c r="G283" s="1">
        <v>170679.31</v>
      </c>
      <c r="H283" s="1">
        <v>603403.67000000004</v>
      </c>
      <c r="I283" s="1">
        <v>3000000</v>
      </c>
    </row>
    <row r="284" spans="1:9" x14ac:dyDescent="0.25">
      <c r="A284">
        <v>2023</v>
      </c>
      <c r="B284">
        <v>2</v>
      </c>
      <c r="C284">
        <v>19110102000</v>
      </c>
      <c r="F284" t="s">
        <v>282</v>
      </c>
      <c r="G284" s="1">
        <v>1260.79</v>
      </c>
      <c r="H284" s="1">
        <v>3696.26</v>
      </c>
      <c r="I284">
        <v>0</v>
      </c>
    </row>
    <row r="285" spans="1:9" x14ac:dyDescent="0.25">
      <c r="A285">
        <v>2023</v>
      </c>
      <c r="B285">
        <v>2</v>
      </c>
      <c r="C285">
        <v>19110102001</v>
      </c>
      <c r="D285">
        <v>3</v>
      </c>
      <c r="E285">
        <v>2075</v>
      </c>
      <c r="F285" t="s">
        <v>283</v>
      </c>
      <c r="G285" s="1">
        <v>1260.79</v>
      </c>
      <c r="H285" s="1">
        <v>3696.26</v>
      </c>
      <c r="I285">
        <v>0</v>
      </c>
    </row>
    <row r="286" spans="1:9" x14ac:dyDescent="0.25">
      <c r="A286">
        <v>2023</v>
      </c>
      <c r="B286">
        <v>2</v>
      </c>
      <c r="C286">
        <v>19110103000</v>
      </c>
      <c r="F286" t="s">
        <v>284</v>
      </c>
      <c r="G286" s="1">
        <v>12378.33</v>
      </c>
      <c r="H286" s="1">
        <v>84454.38</v>
      </c>
      <c r="I286" s="1">
        <v>2000</v>
      </c>
    </row>
    <row r="287" spans="1:9" x14ac:dyDescent="0.25">
      <c r="A287">
        <v>2023</v>
      </c>
      <c r="B287">
        <v>2</v>
      </c>
      <c r="C287">
        <v>19110103003</v>
      </c>
      <c r="D287">
        <v>1</v>
      </c>
      <c r="E287">
        <v>2062</v>
      </c>
      <c r="F287" t="s">
        <v>285</v>
      </c>
      <c r="G287">
        <v>44.67</v>
      </c>
      <c r="H287">
        <v>119.83</v>
      </c>
      <c r="I287" s="1">
        <v>2000</v>
      </c>
    </row>
    <row r="288" spans="1:9" x14ac:dyDescent="0.25">
      <c r="A288">
        <v>2023</v>
      </c>
      <c r="B288">
        <v>2</v>
      </c>
      <c r="C288">
        <v>19110103004</v>
      </c>
      <c r="D288">
        <v>3</v>
      </c>
      <c r="E288">
        <v>2074</v>
      </c>
      <c r="F288" t="s">
        <v>286</v>
      </c>
      <c r="G288" s="1">
        <v>12333.66</v>
      </c>
      <c r="H288" s="1">
        <v>84334.55</v>
      </c>
      <c r="I288">
        <v>0</v>
      </c>
    </row>
    <row r="289" spans="1:9" x14ac:dyDescent="0.25">
      <c r="A289">
        <v>2023</v>
      </c>
      <c r="B289">
        <v>2</v>
      </c>
      <c r="C289">
        <v>19110104000</v>
      </c>
      <c r="F289" t="s">
        <v>287</v>
      </c>
      <c r="G289" s="1">
        <v>8156.24</v>
      </c>
      <c r="H289" s="1">
        <v>96406.399999999994</v>
      </c>
      <c r="I289">
        <v>0</v>
      </c>
    </row>
    <row r="290" spans="1:9" x14ac:dyDescent="0.25">
      <c r="A290">
        <v>2023</v>
      </c>
      <c r="B290">
        <v>2</v>
      </c>
      <c r="C290">
        <v>19110104001</v>
      </c>
      <c r="D290">
        <v>3</v>
      </c>
      <c r="E290">
        <v>2073</v>
      </c>
      <c r="F290" t="s">
        <v>288</v>
      </c>
      <c r="G290" s="1">
        <v>8156.24</v>
      </c>
      <c r="H290" s="1">
        <v>96406.399999999994</v>
      </c>
      <c r="I290">
        <v>0</v>
      </c>
    </row>
    <row r="291" spans="1:9" x14ac:dyDescent="0.25">
      <c r="A291">
        <v>2023</v>
      </c>
      <c r="B291">
        <v>2</v>
      </c>
      <c r="C291">
        <v>19111400000</v>
      </c>
      <c r="F291" t="s">
        <v>289</v>
      </c>
      <c r="G291" s="1">
        <v>2850585.38</v>
      </c>
      <c r="H291" s="1">
        <v>6791380.1799999997</v>
      </c>
      <c r="I291" s="1">
        <v>33828000</v>
      </c>
    </row>
    <row r="292" spans="1:9" x14ac:dyDescent="0.25">
      <c r="A292">
        <v>2023</v>
      </c>
      <c r="B292">
        <v>2</v>
      </c>
      <c r="C292">
        <v>19111401001</v>
      </c>
      <c r="D292">
        <v>3</v>
      </c>
      <c r="E292">
        <v>2127</v>
      </c>
      <c r="F292" t="s">
        <v>290</v>
      </c>
      <c r="G292" s="1">
        <v>2850585.38</v>
      </c>
      <c r="H292" s="1">
        <v>6791380.1799999997</v>
      </c>
      <c r="I292" s="1">
        <v>31980000</v>
      </c>
    </row>
    <row r="293" spans="1:9" x14ac:dyDescent="0.25">
      <c r="A293">
        <v>2023</v>
      </c>
      <c r="B293">
        <v>2</v>
      </c>
      <c r="C293">
        <v>19111401003</v>
      </c>
      <c r="D293">
        <v>3</v>
      </c>
      <c r="E293">
        <v>2128</v>
      </c>
      <c r="F293" t="s">
        <v>291</v>
      </c>
      <c r="G293">
        <v>0</v>
      </c>
      <c r="H293">
        <v>0</v>
      </c>
      <c r="I293" s="1">
        <v>1845000</v>
      </c>
    </row>
    <row r="294" spans="1:9" x14ac:dyDescent="0.25">
      <c r="A294">
        <v>2023</v>
      </c>
      <c r="B294">
        <v>2</v>
      </c>
      <c r="C294">
        <v>19111404001</v>
      </c>
      <c r="D294">
        <v>3</v>
      </c>
      <c r="E294">
        <v>2760</v>
      </c>
      <c r="F294" t="s">
        <v>292</v>
      </c>
      <c r="G294">
        <v>0</v>
      </c>
      <c r="H294">
        <v>0</v>
      </c>
      <c r="I294" s="1">
        <v>2000</v>
      </c>
    </row>
    <row r="295" spans="1:9" x14ac:dyDescent="0.25">
      <c r="A295">
        <v>2023</v>
      </c>
      <c r="B295">
        <v>2</v>
      </c>
      <c r="C295">
        <v>19111404002</v>
      </c>
      <c r="D295">
        <v>3</v>
      </c>
      <c r="E295">
        <v>2770</v>
      </c>
      <c r="F295" t="s">
        <v>293</v>
      </c>
      <c r="G295">
        <v>0</v>
      </c>
      <c r="H295">
        <v>0</v>
      </c>
      <c r="I295" s="1">
        <v>1000</v>
      </c>
    </row>
    <row r="296" spans="1:9" x14ac:dyDescent="0.25">
      <c r="A296">
        <v>2023</v>
      </c>
      <c r="B296">
        <v>2</v>
      </c>
      <c r="C296">
        <v>19200000000</v>
      </c>
      <c r="F296" t="s">
        <v>294</v>
      </c>
      <c r="G296" s="1">
        <v>939575.53</v>
      </c>
      <c r="H296" s="1">
        <v>1101960.44</v>
      </c>
      <c r="I296" s="1">
        <v>68000</v>
      </c>
    </row>
    <row r="297" spans="1:9" x14ac:dyDescent="0.25">
      <c r="A297">
        <v>2023</v>
      </c>
      <c r="B297">
        <v>2</v>
      </c>
      <c r="C297">
        <v>19210000000</v>
      </c>
      <c r="F297" t="s">
        <v>295</v>
      </c>
      <c r="G297" s="1">
        <v>7473.75</v>
      </c>
      <c r="H297" s="1">
        <v>8549.51</v>
      </c>
      <c r="I297" s="1">
        <v>68000</v>
      </c>
    </row>
    <row r="298" spans="1:9" x14ac:dyDescent="0.25">
      <c r="A298">
        <v>2023</v>
      </c>
      <c r="B298">
        <v>2</v>
      </c>
      <c r="C298">
        <v>19219900000</v>
      </c>
      <c r="F298" t="s">
        <v>296</v>
      </c>
      <c r="G298" s="1">
        <v>7473.75</v>
      </c>
      <c r="H298" s="1">
        <v>8549.51</v>
      </c>
      <c r="I298" s="1">
        <v>68000</v>
      </c>
    </row>
    <row r="299" spans="1:9" x14ac:dyDescent="0.25">
      <c r="A299">
        <v>2023</v>
      </c>
      <c r="B299">
        <v>2</v>
      </c>
      <c r="C299">
        <v>19219901001</v>
      </c>
      <c r="D299">
        <v>1</v>
      </c>
      <c r="E299">
        <v>2171</v>
      </c>
      <c r="F299" t="s">
        <v>297</v>
      </c>
      <c r="G299" s="1">
        <v>7473.75</v>
      </c>
      <c r="H299" s="1">
        <v>8549.51</v>
      </c>
      <c r="I299" s="1">
        <v>68000</v>
      </c>
    </row>
    <row r="300" spans="1:9" x14ac:dyDescent="0.25">
      <c r="A300">
        <v>2023</v>
      </c>
      <c r="B300">
        <v>2</v>
      </c>
      <c r="C300">
        <v>19220000000</v>
      </c>
      <c r="F300" t="s">
        <v>298</v>
      </c>
      <c r="G300" s="1">
        <v>932101.78</v>
      </c>
      <c r="H300" s="1">
        <v>1093410.93</v>
      </c>
      <c r="I300">
        <v>0</v>
      </c>
    </row>
    <row r="301" spans="1:9" x14ac:dyDescent="0.25">
      <c r="A301">
        <v>2023</v>
      </c>
      <c r="B301">
        <v>2</v>
      </c>
      <c r="C301">
        <v>19220600000</v>
      </c>
      <c r="F301" t="s">
        <v>299</v>
      </c>
      <c r="G301" s="1">
        <v>932101.78</v>
      </c>
      <c r="H301" s="1">
        <v>1093410.93</v>
      </c>
      <c r="I301">
        <v>0</v>
      </c>
    </row>
    <row r="302" spans="1:9" x14ac:dyDescent="0.25">
      <c r="A302">
        <v>2023</v>
      </c>
      <c r="B302">
        <v>2</v>
      </c>
      <c r="C302">
        <v>19220630000</v>
      </c>
      <c r="F302" t="s">
        <v>300</v>
      </c>
      <c r="G302" s="1">
        <v>932101.78</v>
      </c>
      <c r="H302" s="1">
        <v>1093410.93</v>
      </c>
      <c r="I302">
        <v>0</v>
      </c>
    </row>
    <row r="303" spans="1:9" x14ac:dyDescent="0.25">
      <c r="A303">
        <v>2023</v>
      </c>
      <c r="B303">
        <v>2</v>
      </c>
      <c r="C303">
        <v>19220631001</v>
      </c>
      <c r="D303">
        <v>1</v>
      </c>
      <c r="E303">
        <v>2170</v>
      </c>
      <c r="F303" t="s">
        <v>301</v>
      </c>
      <c r="G303" s="1">
        <v>932101.78</v>
      </c>
      <c r="H303" s="1">
        <v>1093410.93</v>
      </c>
      <c r="I303">
        <v>0</v>
      </c>
    </row>
    <row r="304" spans="1:9" x14ac:dyDescent="0.25">
      <c r="A304">
        <v>2023</v>
      </c>
      <c r="B304">
        <v>2</v>
      </c>
      <c r="C304">
        <v>19900000000</v>
      </c>
      <c r="F304" t="s">
        <v>302</v>
      </c>
      <c r="G304" s="1">
        <v>7688203.0999999996</v>
      </c>
      <c r="H304" s="1">
        <v>11622912.449999999</v>
      </c>
      <c r="I304" s="1">
        <v>56518000</v>
      </c>
    </row>
    <row r="305" spans="1:9" x14ac:dyDescent="0.25">
      <c r="A305">
        <v>2023</v>
      </c>
      <c r="B305">
        <v>2</v>
      </c>
      <c r="C305">
        <v>19990000000</v>
      </c>
      <c r="F305" t="s">
        <v>273</v>
      </c>
      <c r="G305" s="1">
        <v>7688203.0999999996</v>
      </c>
      <c r="H305" s="1">
        <v>11622912.449999999</v>
      </c>
      <c r="I305" s="1">
        <v>56518000</v>
      </c>
    </row>
    <row r="306" spans="1:9" x14ac:dyDescent="0.25">
      <c r="A306">
        <v>2023</v>
      </c>
      <c r="B306">
        <v>2</v>
      </c>
      <c r="C306">
        <v>19999900000</v>
      </c>
      <c r="F306" t="s">
        <v>303</v>
      </c>
      <c r="G306" s="1">
        <v>7688203.0999999996</v>
      </c>
      <c r="H306" s="1">
        <v>11622912.449999999</v>
      </c>
      <c r="I306" s="1">
        <v>56518000</v>
      </c>
    </row>
    <row r="307" spans="1:9" x14ac:dyDescent="0.25">
      <c r="A307">
        <v>2023</v>
      </c>
      <c r="B307">
        <v>2</v>
      </c>
      <c r="C307">
        <v>19999920000</v>
      </c>
      <c r="F307" t="s">
        <v>304</v>
      </c>
      <c r="G307" s="1">
        <v>7688203.0999999996</v>
      </c>
      <c r="H307" s="1">
        <v>11622912.449999999</v>
      </c>
      <c r="I307" s="1">
        <v>56518000</v>
      </c>
    </row>
    <row r="308" spans="1:9" x14ac:dyDescent="0.25">
      <c r="A308">
        <v>2023</v>
      </c>
      <c r="B308">
        <v>2</v>
      </c>
      <c r="C308">
        <v>19999921001</v>
      </c>
      <c r="D308">
        <v>3</v>
      </c>
      <c r="E308">
        <v>2194</v>
      </c>
      <c r="F308" t="s">
        <v>305</v>
      </c>
      <c r="G308">
        <v>0</v>
      </c>
      <c r="H308">
        <v>0</v>
      </c>
      <c r="I308" s="1">
        <v>2000</v>
      </c>
    </row>
    <row r="309" spans="1:9" x14ac:dyDescent="0.25">
      <c r="A309">
        <v>2023</v>
      </c>
      <c r="B309">
        <v>2</v>
      </c>
      <c r="C309">
        <v>19999921002</v>
      </c>
      <c r="D309">
        <v>3</v>
      </c>
      <c r="E309">
        <v>2135</v>
      </c>
      <c r="F309" t="s">
        <v>306</v>
      </c>
      <c r="G309" s="1">
        <v>3009171.1</v>
      </c>
      <c r="H309" s="1">
        <v>3081633.75</v>
      </c>
      <c r="I309" s="1">
        <v>11745000</v>
      </c>
    </row>
    <row r="310" spans="1:9" x14ac:dyDescent="0.25">
      <c r="A310">
        <v>2023</v>
      </c>
      <c r="B310">
        <v>2</v>
      </c>
      <c r="C310">
        <v>19999921003</v>
      </c>
      <c r="D310">
        <v>3</v>
      </c>
      <c r="E310">
        <v>1580</v>
      </c>
      <c r="F310" t="s">
        <v>307</v>
      </c>
      <c r="G310">
        <v>0</v>
      </c>
      <c r="H310">
        <v>0</v>
      </c>
      <c r="I310" s="1">
        <v>1000</v>
      </c>
    </row>
    <row r="311" spans="1:9" x14ac:dyDescent="0.25">
      <c r="A311">
        <v>2023</v>
      </c>
      <c r="B311">
        <v>2</v>
      </c>
      <c r="C311">
        <v>19999921004</v>
      </c>
      <c r="D311">
        <v>1</v>
      </c>
      <c r="E311">
        <v>2089</v>
      </c>
      <c r="F311" t="s">
        <v>308</v>
      </c>
      <c r="G311" s="1">
        <v>1739284.24</v>
      </c>
      <c r="H311" s="1">
        <v>1839430.02</v>
      </c>
      <c r="I311" s="1">
        <v>1626000</v>
      </c>
    </row>
    <row r="312" spans="1:9" x14ac:dyDescent="0.25">
      <c r="A312">
        <v>2023</v>
      </c>
      <c r="B312">
        <v>2</v>
      </c>
      <c r="C312">
        <v>19999921005</v>
      </c>
      <c r="D312">
        <v>1</v>
      </c>
      <c r="E312">
        <v>2097</v>
      </c>
      <c r="F312" t="s">
        <v>309</v>
      </c>
      <c r="G312">
        <v>0</v>
      </c>
      <c r="H312">
        <v>0</v>
      </c>
      <c r="I312" s="1">
        <v>4000</v>
      </c>
    </row>
    <row r="313" spans="1:9" x14ac:dyDescent="0.25">
      <c r="A313">
        <v>2023</v>
      </c>
      <c r="B313">
        <v>2</v>
      </c>
      <c r="C313">
        <v>19999921006</v>
      </c>
      <c r="D313">
        <v>3</v>
      </c>
      <c r="E313">
        <v>2160</v>
      </c>
      <c r="F313" t="s">
        <v>310</v>
      </c>
      <c r="G313" s="1">
        <v>197820.57</v>
      </c>
      <c r="H313" s="1">
        <v>391657.3</v>
      </c>
      <c r="I313" s="1">
        <v>2016000</v>
      </c>
    </row>
    <row r="314" spans="1:9" x14ac:dyDescent="0.25">
      <c r="A314">
        <v>2023</v>
      </c>
      <c r="B314">
        <v>2</v>
      </c>
      <c r="C314">
        <v>19999921007</v>
      </c>
      <c r="D314">
        <v>3</v>
      </c>
      <c r="E314">
        <v>2970</v>
      </c>
      <c r="F314" t="s">
        <v>311</v>
      </c>
      <c r="G314">
        <v>0</v>
      </c>
      <c r="H314">
        <v>0</v>
      </c>
      <c r="I314" s="1">
        <v>1000</v>
      </c>
    </row>
    <row r="315" spans="1:9" x14ac:dyDescent="0.25">
      <c r="A315">
        <v>2023</v>
      </c>
      <c r="B315">
        <v>2</v>
      </c>
      <c r="C315">
        <v>19999921008</v>
      </c>
      <c r="D315">
        <v>3</v>
      </c>
      <c r="E315">
        <v>1520</v>
      </c>
      <c r="F315" t="s">
        <v>312</v>
      </c>
      <c r="G315">
        <v>0</v>
      </c>
      <c r="H315">
        <v>0</v>
      </c>
      <c r="I315" s="1">
        <v>1000</v>
      </c>
    </row>
    <row r="316" spans="1:9" x14ac:dyDescent="0.25">
      <c r="A316">
        <v>2023</v>
      </c>
      <c r="B316">
        <v>2</v>
      </c>
      <c r="C316">
        <v>19999921009</v>
      </c>
      <c r="D316">
        <v>1</v>
      </c>
      <c r="E316">
        <v>2208</v>
      </c>
      <c r="F316" t="s">
        <v>313</v>
      </c>
      <c r="G316" s="1">
        <v>1316479.56</v>
      </c>
      <c r="H316" s="1">
        <v>1316479.56</v>
      </c>
      <c r="I316" s="1">
        <v>13860000</v>
      </c>
    </row>
    <row r="317" spans="1:9" x14ac:dyDescent="0.25">
      <c r="A317">
        <v>2023</v>
      </c>
      <c r="B317">
        <v>2</v>
      </c>
      <c r="C317">
        <v>19999921010</v>
      </c>
      <c r="D317">
        <v>3</v>
      </c>
      <c r="E317">
        <v>2348</v>
      </c>
      <c r="F317" t="s">
        <v>314</v>
      </c>
      <c r="G317" s="1">
        <v>56841.91</v>
      </c>
      <c r="H317" s="1">
        <v>97347.77</v>
      </c>
      <c r="I317" s="1">
        <v>254000</v>
      </c>
    </row>
    <row r="318" spans="1:9" x14ac:dyDescent="0.25">
      <c r="A318">
        <v>2023</v>
      </c>
      <c r="B318">
        <v>2</v>
      </c>
      <c r="C318">
        <v>19999921011</v>
      </c>
      <c r="D318">
        <v>3</v>
      </c>
      <c r="E318">
        <v>2350</v>
      </c>
      <c r="F318" t="s">
        <v>315</v>
      </c>
      <c r="G318">
        <v>0</v>
      </c>
      <c r="H318">
        <v>0</v>
      </c>
      <c r="I318" s="1">
        <v>1000</v>
      </c>
    </row>
    <row r="319" spans="1:9" x14ac:dyDescent="0.25">
      <c r="A319">
        <v>2023</v>
      </c>
      <c r="B319">
        <v>2</v>
      </c>
      <c r="C319">
        <v>19999921012</v>
      </c>
      <c r="D319">
        <v>3</v>
      </c>
      <c r="E319">
        <v>2987</v>
      </c>
      <c r="F319" t="s">
        <v>316</v>
      </c>
      <c r="G319">
        <v>485</v>
      </c>
      <c r="H319">
        <v>970</v>
      </c>
      <c r="I319" s="1">
        <v>1470000</v>
      </c>
    </row>
    <row r="320" spans="1:9" x14ac:dyDescent="0.25">
      <c r="A320">
        <v>2023</v>
      </c>
      <c r="B320">
        <v>2</v>
      </c>
      <c r="C320">
        <v>19999921013</v>
      </c>
      <c r="D320">
        <v>3</v>
      </c>
      <c r="E320">
        <v>2988</v>
      </c>
      <c r="F320" t="s">
        <v>317</v>
      </c>
      <c r="G320">
        <v>0</v>
      </c>
      <c r="H320">
        <v>0</v>
      </c>
      <c r="I320" s="1">
        <v>720000</v>
      </c>
    </row>
    <row r="321" spans="1:9" x14ac:dyDescent="0.25">
      <c r="A321">
        <v>2023</v>
      </c>
      <c r="B321">
        <v>2</v>
      </c>
      <c r="C321">
        <v>19999921014</v>
      </c>
      <c r="D321">
        <v>3</v>
      </c>
      <c r="E321">
        <v>2989</v>
      </c>
      <c r="F321" t="s">
        <v>318</v>
      </c>
      <c r="G321" s="1">
        <v>263105.46999999997</v>
      </c>
      <c r="H321" s="1">
        <v>382779.83</v>
      </c>
      <c r="I321" s="1">
        <v>901000</v>
      </c>
    </row>
    <row r="322" spans="1:9" x14ac:dyDescent="0.25">
      <c r="A322">
        <v>2023</v>
      </c>
      <c r="B322">
        <v>2</v>
      </c>
      <c r="C322">
        <v>19999921018</v>
      </c>
      <c r="D322">
        <v>3</v>
      </c>
      <c r="E322">
        <v>2967</v>
      </c>
      <c r="F322" t="s">
        <v>319</v>
      </c>
      <c r="G322" s="1">
        <v>108189.63</v>
      </c>
      <c r="H322" s="1">
        <v>232706.17</v>
      </c>
      <c r="I322" s="1">
        <v>1176000</v>
      </c>
    </row>
    <row r="323" spans="1:9" x14ac:dyDescent="0.25">
      <c r="A323">
        <v>2023</v>
      </c>
      <c r="B323">
        <v>2</v>
      </c>
      <c r="C323">
        <v>19999921019</v>
      </c>
      <c r="D323">
        <v>3</v>
      </c>
      <c r="E323">
        <v>2891</v>
      </c>
      <c r="F323" t="s">
        <v>320</v>
      </c>
      <c r="G323">
        <v>0</v>
      </c>
      <c r="H323">
        <v>0</v>
      </c>
      <c r="I323" s="1">
        <v>6000</v>
      </c>
    </row>
    <row r="324" spans="1:9" x14ac:dyDescent="0.25">
      <c r="A324">
        <v>2023</v>
      </c>
      <c r="B324">
        <v>2</v>
      </c>
      <c r="C324">
        <v>19999921020</v>
      </c>
      <c r="D324">
        <v>1</v>
      </c>
      <c r="E324">
        <v>2605</v>
      </c>
      <c r="F324" t="s">
        <v>321</v>
      </c>
      <c r="G324" s="1">
        <v>27212.93</v>
      </c>
      <c r="H324" s="1">
        <v>34740.54</v>
      </c>
      <c r="I324" s="1">
        <v>26000</v>
      </c>
    </row>
    <row r="325" spans="1:9" x14ac:dyDescent="0.25">
      <c r="A325">
        <v>2023</v>
      </c>
      <c r="B325">
        <v>2</v>
      </c>
      <c r="C325">
        <v>19999921021</v>
      </c>
      <c r="D325">
        <v>3</v>
      </c>
      <c r="E325">
        <v>2892</v>
      </c>
      <c r="F325" t="s">
        <v>322</v>
      </c>
      <c r="G325" s="1">
        <v>119754.55</v>
      </c>
      <c r="H325" s="1">
        <v>2155683.0099999998</v>
      </c>
      <c r="I325" s="1">
        <v>6314000</v>
      </c>
    </row>
    <row r="326" spans="1:9" x14ac:dyDescent="0.25">
      <c r="A326">
        <v>2023</v>
      </c>
      <c r="B326">
        <v>2</v>
      </c>
      <c r="C326">
        <v>19999921023</v>
      </c>
      <c r="D326">
        <v>6</v>
      </c>
      <c r="E326">
        <v>2720</v>
      </c>
      <c r="F326" t="s">
        <v>323</v>
      </c>
      <c r="G326" s="1">
        <v>7560</v>
      </c>
      <c r="H326" s="1">
        <v>15120</v>
      </c>
      <c r="I326" s="1">
        <v>123000</v>
      </c>
    </row>
    <row r="327" spans="1:9" x14ac:dyDescent="0.25">
      <c r="A327">
        <v>2023</v>
      </c>
      <c r="B327">
        <v>2</v>
      </c>
      <c r="C327">
        <v>19999921032</v>
      </c>
      <c r="D327">
        <v>3</v>
      </c>
      <c r="E327">
        <v>2893</v>
      </c>
      <c r="F327" t="s">
        <v>324</v>
      </c>
      <c r="G327" s="1">
        <v>6164.52</v>
      </c>
      <c r="H327" s="1">
        <v>14007.54</v>
      </c>
      <c r="I327" s="1">
        <v>2828000</v>
      </c>
    </row>
    <row r="328" spans="1:9" x14ac:dyDescent="0.25">
      <c r="A328">
        <v>2023</v>
      </c>
      <c r="B328">
        <v>2</v>
      </c>
      <c r="C328">
        <v>19999923001</v>
      </c>
      <c r="D328">
        <v>1</v>
      </c>
      <c r="E328">
        <v>2461</v>
      </c>
      <c r="F328" t="s">
        <v>325</v>
      </c>
      <c r="G328" s="1">
        <v>397611.37</v>
      </c>
      <c r="H328" s="1">
        <v>1116442.18</v>
      </c>
      <c r="I328" s="1">
        <v>6805000</v>
      </c>
    </row>
    <row r="329" spans="1:9" x14ac:dyDescent="0.25">
      <c r="A329">
        <v>2023</v>
      </c>
      <c r="B329">
        <v>2</v>
      </c>
      <c r="C329">
        <v>19999924001</v>
      </c>
      <c r="D329">
        <v>1</v>
      </c>
      <c r="E329">
        <v>1690</v>
      </c>
      <c r="F329" t="s">
        <v>326</v>
      </c>
      <c r="G329" s="1">
        <v>438522.25</v>
      </c>
      <c r="H329" s="1">
        <v>943914.78</v>
      </c>
      <c r="I329" s="1">
        <v>6638000</v>
      </c>
    </row>
    <row r="330" spans="1:9" x14ac:dyDescent="0.25">
      <c r="A330">
        <v>2023</v>
      </c>
      <c r="B330">
        <v>2</v>
      </c>
      <c r="C330">
        <v>20000000000</v>
      </c>
      <c r="F330" t="s">
        <v>327</v>
      </c>
      <c r="G330" s="1">
        <v>319176.90999999997</v>
      </c>
      <c r="H330" s="1">
        <v>1479865.61</v>
      </c>
      <c r="I330" s="1">
        <v>15054000</v>
      </c>
    </row>
    <row r="331" spans="1:9" x14ac:dyDescent="0.25">
      <c r="A331">
        <v>2023</v>
      </c>
      <c r="B331">
        <v>2</v>
      </c>
      <c r="C331">
        <v>24000000000</v>
      </c>
      <c r="F331" t="s">
        <v>328</v>
      </c>
      <c r="G331" s="1">
        <v>319176.90999999997</v>
      </c>
      <c r="H331" s="1">
        <v>1479865.61</v>
      </c>
      <c r="I331" s="1">
        <v>15054000</v>
      </c>
    </row>
    <row r="332" spans="1:9" x14ac:dyDescent="0.25">
      <c r="A332">
        <v>2023</v>
      </c>
      <c r="B332">
        <v>2</v>
      </c>
      <c r="C332">
        <v>24200000000</v>
      </c>
      <c r="F332" t="s">
        <v>238</v>
      </c>
      <c r="G332">
        <v>0</v>
      </c>
      <c r="H332">
        <v>0</v>
      </c>
      <c r="I332" s="1">
        <v>5522000</v>
      </c>
    </row>
    <row r="333" spans="1:9" x14ac:dyDescent="0.25">
      <c r="A333">
        <v>2023</v>
      </c>
      <c r="B333">
        <v>2</v>
      </c>
      <c r="C333">
        <v>24220000000</v>
      </c>
      <c r="F333" t="s">
        <v>329</v>
      </c>
      <c r="G333">
        <v>0</v>
      </c>
      <c r="H333">
        <v>0</v>
      </c>
      <c r="I333" s="1">
        <v>5522000</v>
      </c>
    </row>
    <row r="334" spans="1:9" x14ac:dyDescent="0.25">
      <c r="A334">
        <v>2023</v>
      </c>
      <c r="B334">
        <v>2</v>
      </c>
      <c r="C334">
        <v>24229900000</v>
      </c>
      <c r="F334" t="s">
        <v>253</v>
      </c>
      <c r="G334">
        <v>0</v>
      </c>
      <c r="H334">
        <v>0</v>
      </c>
      <c r="I334" s="1">
        <v>5522000</v>
      </c>
    </row>
    <row r="335" spans="1:9" x14ac:dyDescent="0.25">
      <c r="A335">
        <v>2023</v>
      </c>
      <c r="B335">
        <v>2</v>
      </c>
      <c r="C335">
        <v>24229901004</v>
      </c>
      <c r="D335">
        <v>2</v>
      </c>
      <c r="E335">
        <v>2118</v>
      </c>
      <c r="F335" t="s">
        <v>330</v>
      </c>
      <c r="G335">
        <v>0</v>
      </c>
      <c r="H335">
        <v>0</v>
      </c>
      <c r="I335" s="1">
        <v>5522000</v>
      </c>
    </row>
    <row r="336" spans="1:9" x14ac:dyDescent="0.25">
      <c r="A336">
        <v>2023</v>
      </c>
      <c r="B336">
        <v>2</v>
      </c>
      <c r="C336">
        <v>24400000000</v>
      </c>
      <c r="F336" t="s">
        <v>259</v>
      </c>
      <c r="G336" s="1">
        <v>319176.90999999997</v>
      </c>
      <c r="H336" s="1">
        <v>1479865.61</v>
      </c>
      <c r="I336" s="1">
        <v>9532000</v>
      </c>
    </row>
    <row r="337" spans="1:9" x14ac:dyDescent="0.25">
      <c r="A337">
        <v>2023</v>
      </c>
      <c r="B337">
        <v>2</v>
      </c>
      <c r="C337">
        <v>24410000000</v>
      </c>
      <c r="F337" t="s">
        <v>259</v>
      </c>
      <c r="G337" s="1">
        <v>319176.90999999997</v>
      </c>
      <c r="H337" s="1">
        <v>1479865.61</v>
      </c>
      <c r="I337" s="1">
        <v>9532000</v>
      </c>
    </row>
    <row r="338" spans="1:9" x14ac:dyDescent="0.25">
      <c r="A338">
        <v>2023</v>
      </c>
      <c r="B338">
        <v>2</v>
      </c>
      <c r="C338">
        <v>24419900000</v>
      </c>
      <c r="F338" t="s">
        <v>331</v>
      </c>
      <c r="G338" s="1">
        <v>319176.90999999997</v>
      </c>
      <c r="H338" s="1">
        <v>1479865.61</v>
      </c>
      <c r="I338" s="1">
        <v>9532000</v>
      </c>
    </row>
    <row r="339" spans="1:9" x14ac:dyDescent="0.25">
      <c r="A339">
        <v>2023</v>
      </c>
      <c r="B339">
        <v>2</v>
      </c>
      <c r="C339">
        <v>24419901003</v>
      </c>
      <c r="D339">
        <v>6</v>
      </c>
      <c r="E339">
        <v>2612</v>
      </c>
      <c r="F339" t="s">
        <v>332</v>
      </c>
      <c r="G339">
        <v>0</v>
      </c>
      <c r="H339">
        <v>0</v>
      </c>
      <c r="I339" s="1">
        <v>6648000</v>
      </c>
    </row>
    <row r="340" spans="1:9" x14ac:dyDescent="0.25">
      <c r="A340">
        <v>2023</v>
      </c>
      <c r="B340">
        <v>2</v>
      </c>
      <c r="C340">
        <v>24419901006</v>
      </c>
      <c r="D340">
        <v>3</v>
      </c>
      <c r="E340">
        <v>2622</v>
      </c>
      <c r="F340" t="s">
        <v>333</v>
      </c>
      <c r="G340" s="1">
        <v>319176.90999999997</v>
      </c>
      <c r="H340" s="1">
        <v>519683.35</v>
      </c>
      <c r="I340" s="1">
        <v>2040000</v>
      </c>
    </row>
    <row r="341" spans="1:9" x14ac:dyDescent="0.25">
      <c r="A341">
        <v>2023</v>
      </c>
      <c r="B341">
        <v>2</v>
      </c>
      <c r="C341">
        <v>24419901007</v>
      </c>
      <c r="D341">
        <v>6</v>
      </c>
      <c r="E341">
        <v>2628</v>
      </c>
      <c r="F341" t="s">
        <v>334</v>
      </c>
      <c r="G341">
        <v>0</v>
      </c>
      <c r="H341" s="1">
        <v>960182.26</v>
      </c>
      <c r="I341" s="1">
        <v>844000</v>
      </c>
    </row>
    <row r="342" spans="1:9" x14ac:dyDescent="0.25">
      <c r="A342">
        <v>2023</v>
      </c>
      <c r="B342">
        <v>2</v>
      </c>
      <c r="C342">
        <v>900000000000</v>
      </c>
      <c r="F342" t="s">
        <v>335</v>
      </c>
      <c r="G342" s="1">
        <v>-26526717.260000002</v>
      </c>
      <c r="H342" s="1">
        <v>-68733989.629999995</v>
      </c>
      <c r="I342" s="1">
        <v>-334627000</v>
      </c>
    </row>
    <row r="343" spans="1:9" x14ac:dyDescent="0.25">
      <c r="A343">
        <v>2023</v>
      </c>
      <c r="B343">
        <v>2</v>
      </c>
      <c r="C343">
        <v>910000000000</v>
      </c>
      <c r="F343" t="s">
        <v>336</v>
      </c>
      <c r="G343" s="1">
        <v>-26526717.260000002</v>
      </c>
      <c r="H343" s="1">
        <v>-68733989.629999995</v>
      </c>
      <c r="I343" s="1">
        <v>-334627000</v>
      </c>
    </row>
    <row r="344" spans="1:9" x14ac:dyDescent="0.25">
      <c r="A344">
        <v>2023</v>
      </c>
      <c r="B344">
        <v>2</v>
      </c>
      <c r="C344">
        <v>917000000000</v>
      </c>
      <c r="F344" t="s">
        <v>337</v>
      </c>
      <c r="G344" s="1">
        <v>-26526717.260000002</v>
      </c>
      <c r="H344" s="1">
        <v>-68733989.629999995</v>
      </c>
      <c r="I344" s="1">
        <v>-334627000</v>
      </c>
    </row>
    <row r="345" spans="1:9" x14ac:dyDescent="0.25">
      <c r="A345">
        <v>2023</v>
      </c>
      <c r="B345">
        <v>2</v>
      </c>
      <c r="C345">
        <v>917100000000</v>
      </c>
      <c r="F345" t="s">
        <v>338</v>
      </c>
      <c r="G345" s="1">
        <v>-2677918.04</v>
      </c>
      <c r="H345" s="1">
        <v>-4678541.3</v>
      </c>
      <c r="I345" s="1">
        <v>-22585000</v>
      </c>
    </row>
    <row r="346" spans="1:9" x14ac:dyDescent="0.25">
      <c r="A346">
        <v>2023</v>
      </c>
      <c r="B346">
        <v>2</v>
      </c>
      <c r="C346">
        <v>917115111001</v>
      </c>
      <c r="D346">
        <v>1</v>
      </c>
      <c r="E346">
        <v>2640</v>
      </c>
      <c r="F346" t="s">
        <v>339</v>
      </c>
      <c r="G346" s="1">
        <v>-2676813.64</v>
      </c>
      <c r="H346" s="1">
        <v>-4676747.29</v>
      </c>
      <c r="I346" s="1">
        <v>-22527000</v>
      </c>
    </row>
    <row r="347" spans="1:9" x14ac:dyDescent="0.25">
      <c r="A347">
        <v>2023</v>
      </c>
      <c r="B347">
        <v>2</v>
      </c>
      <c r="C347">
        <v>917115201001</v>
      </c>
      <c r="D347">
        <v>1</v>
      </c>
      <c r="E347">
        <v>2710</v>
      </c>
      <c r="F347" t="s">
        <v>340</v>
      </c>
      <c r="G347" s="1">
        <v>-1104.4000000000001</v>
      </c>
      <c r="H347" s="1">
        <v>-1794.01</v>
      </c>
      <c r="I347" s="1">
        <v>-58000</v>
      </c>
    </row>
    <row r="348" spans="1:9" x14ac:dyDescent="0.25">
      <c r="A348">
        <v>2023</v>
      </c>
      <c r="B348">
        <v>2</v>
      </c>
      <c r="C348">
        <v>917200000000</v>
      </c>
      <c r="F348" t="s">
        <v>341</v>
      </c>
      <c r="G348" s="1">
        <v>-23848799.219999999</v>
      </c>
      <c r="H348" s="1">
        <v>-64055448.329999998</v>
      </c>
      <c r="I348" s="1">
        <v>-312042000</v>
      </c>
    </row>
    <row r="349" spans="1:9" x14ac:dyDescent="0.25">
      <c r="A349">
        <v>2023</v>
      </c>
      <c r="B349">
        <v>2</v>
      </c>
      <c r="C349">
        <v>917215001001</v>
      </c>
      <c r="D349">
        <v>1</v>
      </c>
      <c r="E349">
        <v>2650</v>
      </c>
      <c r="F349" t="s">
        <v>342</v>
      </c>
      <c r="G349" s="1">
        <v>-17664015.75</v>
      </c>
      <c r="H349" s="1">
        <v>-41296097.770000003</v>
      </c>
      <c r="I349" s="1">
        <v>-272533000</v>
      </c>
    </row>
    <row r="350" spans="1:9" x14ac:dyDescent="0.25">
      <c r="A350">
        <v>2023</v>
      </c>
      <c r="B350">
        <v>2</v>
      </c>
      <c r="C350">
        <v>917215101001</v>
      </c>
      <c r="D350">
        <v>1</v>
      </c>
      <c r="E350">
        <v>2711</v>
      </c>
      <c r="F350" t="s">
        <v>343</v>
      </c>
      <c r="G350" s="1">
        <v>-6088644.6299999999</v>
      </c>
      <c r="H350" s="1">
        <v>-22536673.829999998</v>
      </c>
      <c r="I350" s="1">
        <v>-37648000</v>
      </c>
    </row>
    <row r="351" spans="1:9" x14ac:dyDescent="0.25">
      <c r="A351">
        <v>2023</v>
      </c>
      <c r="B351">
        <v>2</v>
      </c>
      <c r="C351">
        <v>917215201001</v>
      </c>
      <c r="D351">
        <v>1</v>
      </c>
      <c r="E351">
        <v>2399</v>
      </c>
      <c r="F351" t="s">
        <v>344</v>
      </c>
      <c r="G351" s="1">
        <v>-96138.84</v>
      </c>
      <c r="H351" s="1">
        <v>-222676.73</v>
      </c>
      <c r="I351" s="1">
        <v>-1861000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5EEB-7865-41D9-94BC-84BE2DCBC0A7}">
  <sheetPr codeName="Planilha3"/>
  <dimension ref="E5:F12"/>
  <sheetViews>
    <sheetView tabSelected="1" workbookViewId="0">
      <selection activeCell="E5" sqref="E5"/>
    </sheetView>
  </sheetViews>
  <sheetFormatPr defaultRowHeight="15" x14ac:dyDescent="0.25"/>
  <cols>
    <col min="5" max="5" width="18.85546875" customWidth="1"/>
    <col min="6" max="6" width="27" customWidth="1"/>
  </cols>
  <sheetData>
    <row r="5" spans="5:6" x14ac:dyDescent="0.25">
      <c r="E5">
        <v>5</v>
      </c>
    </row>
    <row r="7" spans="5:6" x14ac:dyDescent="0.25">
      <c r="E7" s="6" t="s">
        <v>349</v>
      </c>
      <c r="F7" s="7" cm="1">
        <f t="array" ref="F7">IF($E$5&gt;2,INDEX(balancete_receita!F:I,Planilha1!$E$5,2),"-")</f>
        <v>160836002.68000001</v>
      </c>
    </row>
    <row r="8" spans="5:6" x14ac:dyDescent="0.25">
      <c r="E8" s="6" t="s">
        <v>350</v>
      </c>
      <c r="F8" s="7" cm="1">
        <f t="array" ref="F8">IF($E$5&gt;2,INDEX(balancete_receita!F:I,Planilha1!$E$5,3),"-")</f>
        <v>188491874.78</v>
      </c>
    </row>
    <row r="9" spans="5:6" x14ac:dyDescent="0.25">
      <c r="E9" s="6" t="s">
        <v>351</v>
      </c>
      <c r="F9" s="7" cm="1">
        <f t="array" ref="F9">IF($E$5&gt;2,INDEX(balancete_receita!F:I,Planilha1!$E$5,4),"-")</f>
        <v>479469000</v>
      </c>
    </row>
    <row r="10" spans="5:6" x14ac:dyDescent="0.25">
      <c r="E10" s="5"/>
      <c r="F10" s="4"/>
    </row>
    <row r="11" spans="5:6" x14ac:dyDescent="0.25">
      <c r="E11" s="5"/>
      <c r="F11" s="4"/>
    </row>
    <row r="12" spans="5:6" x14ac:dyDescent="0.25">
      <c r="E12" s="5"/>
      <c r="F12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5</xdr:col>
                    <xdr:colOff>514350</xdr:colOff>
                    <xdr:row>2</xdr:row>
                    <xdr:rowOff>57150</xdr:rowOff>
                  </from>
                  <to>
                    <xdr:col>11</xdr:col>
                    <xdr:colOff>95250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Botão5_Clique">
                <anchor moveWithCells="1" sizeWithCells="1">
                  <from>
                    <xdr:col>7</xdr:col>
                    <xdr:colOff>85725</xdr:colOff>
                    <xdr:row>7</xdr:row>
                    <xdr:rowOff>180975</xdr:rowOff>
                  </from>
                  <to>
                    <xdr:col>11</xdr:col>
                    <xdr:colOff>323850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balancete_receita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Liliani Pereira</dc:creator>
  <cp:lastModifiedBy>liliani cristina</cp:lastModifiedBy>
  <dcterms:created xsi:type="dcterms:W3CDTF">2023-09-01T22:24:56Z</dcterms:created>
  <dcterms:modified xsi:type="dcterms:W3CDTF">2023-09-01T23:21:13Z</dcterms:modified>
</cp:coreProperties>
</file>